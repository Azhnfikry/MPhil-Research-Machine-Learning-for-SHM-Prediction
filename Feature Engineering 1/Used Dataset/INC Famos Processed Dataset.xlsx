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 O\Downloads\"/>
    </mc:Choice>
  </mc:AlternateContent>
  <xr:revisionPtr revIDLastSave="0" documentId="8_{AFCCBBA8-3B6B-4119-BB03-E5CF9FF9275B}" xr6:coauthVersionLast="47" xr6:coauthVersionMax="47" xr10:uidLastSave="{00000000-0000-0000-0000-000000000000}"/>
  <bookViews>
    <workbookView xWindow="-120" yWindow="-120" windowWidth="38640" windowHeight="15720" xr2:uid="{976BA3F0-ACCD-4D72-B885-240AC8D74601}"/>
  </bookViews>
  <sheets>
    <sheet name="30 min" sheetId="1" r:id="rId1"/>
    <sheet name="Daily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1" l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8" i="1"/>
  <c r="R538" i="1"/>
  <c r="R539" i="1" s="1"/>
  <c r="J538" i="1"/>
  <c r="J539" i="1" s="1"/>
  <c r="R537" i="1"/>
  <c r="J537" i="1"/>
  <c r="S488" i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K488" i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S440" i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K440" i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S392" i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K392" i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S344" i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K344" i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S296" i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K296" i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S248" i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K248" i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S200" i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K200" i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S152" i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K152" i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S104" i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K104" i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S57" i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56" i="1"/>
  <c r="K56" i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S8" i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K8" i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</calcChain>
</file>

<file path=xl/sharedStrings.xml><?xml version="1.0" encoding="utf-8"?>
<sst xmlns="http://schemas.openxmlformats.org/spreadsheetml/2006/main" count="877" uniqueCount="577">
  <si>
    <t>Data Reduced on - 13-Oct-21  2:51:38 AM</t>
  </si>
  <si>
    <t>Data Recorded @ 10.000010 Hz</t>
  </si>
  <si>
    <t>Header from Data File -- TOB3</t>
  </si>
  <si>
    <t>CR1000</t>
  </si>
  <si>
    <t>CR1000.Std.32.05</t>
  </si>
  <si>
    <t>CPU:1301269T.CR1</t>
  </si>
  <si>
    <t>X_Accel</t>
  </si>
  <si>
    <t>Y_Accel</t>
  </si>
  <si>
    <t>Wave_Radar</t>
  </si>
  <si>
    <t>Min.</t>
  </si>
  <si>
    <t>Max.</t>
  </si>
  <si>
    <t>StdDev</t>
  </si>
  <si>
    <t>DispMin</t>
  </si>
  <si>
    <t>DispMax</t>
  </si>
  <si>
    <t>DispSD</t>
  </si>
  <si>
    <t>1stNatFreq</t>
  </si>
  <si>
    <t>Range</t>
  </si>
  <si>
    <t>Days</t>
  </si>
  <si>
    <t>File Name</t>
  </si>
  <si>
    <t>Date/Time</t>
  </si>
  <si>
    <t>(mm/s^2)</t>
  </si>
  <si>
    <t>(mm)</t>
  </si>
  <si>
    <t>(Hz)</t>
  </si>
  <si>
    <t>(Meters)</t>
  </si>
  <si>
    <t>E571.dat-1</t>
  </si>
  <si>
    <t>E572.dat-1</t>
  </si>
  <si>
    <t xml:space="preserve">  NaN</t>
  </si>
  <si>
    <t>E573.dat-1</t>
  </si>
  <si>
    <t>E574.dat-1</t>
  </si>
  <si>
    <t>E575.dat-1</t>
  </si>
  <si>
    <t>E576.dat-1</t>
  </si>
  <si>
    <t>E577.dat-1</t>
  </si>
  <si>
    <t>E578.dat-1</t>
  </si>
  <si>
    <t>E579.dat-1</t>
  </si>
  <si>
    <t>E580.dat-1</t>
  </si>
  <si>
    <t>E581.dat-1</t>
  </si>
  <si>
    <t>E582.dat-1</t>
  </si>
  <si>
    <t>E583.dat-1</t>
  </si>
  <si>
    <t>E584.dat-1</t>
  </si>
  <si>
    <t>E585.dat-1</t>
  </si>
  <si>
    <t>E586.dat-1</t>
  </si>
  <si>
    <t>E587.dat-1</t>
  </si>
  <si>
    <t>E588.dat-1</t>
  </si>
  <si>
    <t>E589.dat-1</t>
  </si>
  <si>
    <t>E590.dat-1</t>
  </si>
  <si>
    <t>E591.dat-1</t>
  </si>
  <si>
    <t>E592.dat-1</t>
  </si>
  <si>
    <t>E593.dat-1</t>
  </si>
  <si>
    <t>E594.dat-1</t>
  </si>
  <si>
    <t>E595.dat-1</t>
  </si>
  <si>
    <t>E596.dat-1</t>
  </si>
  <si>
    <t>E597.dat-1</t>
  </si>
  <si>
    <t>E598.dat-1</t>
  </si>
  <si>
    <t>E599.dat-1</t>
  </si>
  <si>
    <t>E600.dat-1</t>
  </si>
  <si>
    <t>E601.dat-1</t>
  </si>
  <si>
    <t>E602.dat-1</t>
  </si>
  <si>
    <t>E603.dat-1</t>
  </si>
  <si>
    <t>E604.dat-1</t>
  </si>
  <si>
    <t>E605.dat-1</t>
  </si>
  <si>
    <t>E606.dat-1</t>
  </si>
  <si>
    <t>E607.dat-1</t>
  </si>
  <si>
    <t>E608.dat-1</t>
  </si>
  <si>
    <t>E609.dat-1</t>
  </si>
  <si>
    <t>E610.dat-1</t>
  </si>
  <si>
    <t>E611.dat-1</t>
  </si>
  <si>
    <t>E612.dat-1</t>
  </si>
  <si>
    <t>E613.dat-1</t>
  </si>
  <si>
    <t>E614.dat-1</t>
  </si>
  <si>
    <t>E615.dat-1</t>
  </si>
  <si>
    <t>E616.dat-1</t>
  </si>
  <si>
    <t>E617.dat-1</t>
  </si>
  <si>
    <t>E618.dat-1</t>
  </si>
  <si>
    <t>E619.dat-1</t>
  </si>
  <si>
    <t>E620.dat-1</t>
  </si>
  <si>
    <t>E621.dat-1</t>
  </si>
  <si>
    <t>E622.dat-1</t>
  </si>
  <si>
    <t>E623.dat-1</t>
  </si>
  <si>
    <t>E624.dat-1</t>
  </si>
  <si>
    <t>E625.dat-1</t>
  </si>
  <si>
    <t>E626.dat-1</t>
  </si>
  <si>
    <t>E627.dat-1</t>
  </si>
  <si>
    <t>E628.dat-1</t>
  </si>
  <si>
    <t>E629.dat-1</t>
  </si>
  <si>
    <t>E630.dat-1</t>
  </si>
  <si>
    <t>E631.dat-1</t>
  </si>
  <si>
    <t>E632.dat-1</t>
  </si>
  <si>
    <t>E633.dat-1</t>
  </si>
  <si>
    <t>E634.dat-1</t>
  </si>
  <si>
    <t>E635.dat-1</t>
  </si>
  <si>
    <t>E636.dat-1</t>
  </si>
  <si>
    <t>E637.dat-1</t>
  </si>
  <si>
    <t>E638.dat-1</t>
  </si>
  <si>
    <t>E639.dat-1</t>
  </si>
  <si>
    <t>E640.dat-1</t>
  </si>
  <si>
    <t>E641.dat-1</t>
  </si>
  <si>
    <t>E642.dat-1</t>
  </si>
  <si>
    <t>E643.dat-1</t>
  </si>
  <si>
    <t>E644.dat-1</t>
  </si>
  <si>
    <t>E645.dat-1</t>
  </si>
  <si>
    <t>E646.dat-1</t>
  </si>
  <si>
    <t>E647.dat-1</t>
  </si>
  <si>
    <t>E648.dat-1</t>
  </si>
  <si>
    <t>E649.dat-1</t>
  </si>
  <si>
    <t>E650.dat-1</t>
  </si>
  <si>
    <t>E651.dat-1</t>
  </si>
  <si>
    <t>E652.dat-1</t>
  </si>
  <si>
    <t>E653.dat-1</t>
  </si>
  <si>
    <t>E654.dat-1</t>
  </si>
  <si>
    <t>E655.dat-1</t>
  </si>
  <si>
    <t>E656.dat-1</t>
  </si>
  <si>
    <t>E657.dat-1</t>
  </si>
  <si>
    <t>E658.dat-1</t>
  </si>
  <si>
    <t>E659.dat-1</t>
  </si>
  <si>
    <t>E660.dat-1</t>
  </si>
  <si>
    <t>E661.dat-1</t>
  </si>
  <si>
    <t>E662.dat-1</t>
  </si>
  <si>
    <t>E663.dat-1</t>
  </si>
  <si>
    <t>E664.dat-1</t>
  </si>
  <si>
    <t>E665.dat-1</t>
  </si>
  <si>
    <t>E666.dat-1</t>
  </si>
  <si>
    <t>E667.dat-1</t>
  </si>
  <si>
    <t>E668.dat-1</t>
  </si>
  <si>
    <t>E669.dat-1</t>
  </si>
  <si>
    <t>E670.dat-1</t>
  </si>
  <si>
    <t>E671.dat-1</t>
  </si>
  <si>
    <t>E672.dat-1</t>
  </si>
  <si>
    <t>E673.dat-1</t>
  </si>
  <si>
    <t>E674.dat-1</t>
  </si>
  <si>
    <t>E675.dat-1</t>
  </si>
  <si>
    <t>E676.dat-1</t>
  </si>
  <si>
    <t>E677.dat-1</t>
  </si>
  <si>
    <t>E678.dat-1</t>
  </si>
  <si>
    <t>E679.dat-1</t>
  </si>
  <si>
    <t>E680.dat-1</t>
  </si>
  <si>
    <t>E681.dat-1</t>
  </si>
  <si>
    <t>E682.dat-1</t>
  </si>
  <si>
    <t>E683.dat-1</t>
  </si>
  <si>
    <t>E684.dat-1</t>
  </si>
  <si>
    <t>E685.dat-1</t>
  </si>
  <si>
    <t>E686.dat-1</t>
  </si>
  <si>
    <t>E687.dat-1</t>
  </si>
  <si>
    <t>E688.dat-1</t>
  </si>
  <si>
    <t>E689.dat-1</t>
  </si>
  <si>
    <t>E690.dat-1</t>
  </si>
  <si>
    <t>E691.dat-1</t>
  </si>
  <si>
    <t>E692.dat-1</t>
  </si>
  <si>
    <t>E693.dat-1</t>
  </si>
  <si>
    <t>E694.dat-1</t>
  </si>
  <si>
    <t>E695.dat-1</t>
  </si>
  <si>
    <t>E696.dat-1</t>
  </si>
  <si>
    <t>E697.dat-1</t>
  </si>
  <si>
    <t>E698.dat-1</t>
  </si>
  <si>
    <t>E699.dat-1</t>
  </si>
  <si>
    <t>E700.dat-1</t>
  </si>
  <si>
    <t>E701.dat-1</t>
  </si>
  <si>
    <t>E702.dat-1</t>
  </si>
  <si>
    <t>E703.dat-1</t>
  </si>
  <si>
    <t>E704.dat-1</t>
  </si>
  <si>
    <t>E705.dat-1</t>
  </si>
  <si>
    <t>E706.dat-1</t>
  </si>
  <si>
    <t>E707.dat-1</t>
  </si>
  <si>
    <t>E708.dat-1</t>
  </si>
  <si>
    <t>E709.dat-1</t>
  </si>
  <si>
    <t>E710.dat-1</t>
  </si>
  <si>
    <t>E711.dat-1</t>
  </si>
  <si>
    <t>E712.dat-1</t>
  </si>
  <si>
    <t>E713.dat-1</t>
  </si>
  <si>
    <t>E714.dat-1</t>
  </si>
  <si>
    <t>E715.dat-1</t>
  </si>
  <si>
    <t>E716.dat-1</t>
  </si>
  <si>
    <t>E717.dat-1</t>
  </si>
  <si>
    <t>E718.dat-1</t>
  </si>
  <si>
    <t>E719.dat-1</t>
  </si>
  <si>
    <t>E720.dat-1</t>
  </si>
  <si>
    <t>E721.dat-1</t>
  </si>
  <si>
    <t>E722.dat-1</t>
  </si>
  <si>
    <t>E723.dat-1</t>
  </si>
  <si>
    <t>E724.dat-1</t>
  </si>
  <si>
    <t>E725.dat-1</t>
  </si>
  <si>
    <t>E726.dat-1</t>
  </si>
  <si>
    <t>E727.dat-1</t>
  </si>
  <si>
    <t>E728.dat-1</t>
  </si>
  <si>
    <t>E729.dat-1</t>
  </si>
  <si>
    <t>E730.dat-1</t>
  </si>
  <si>
    <t>E731.dat-1</t>
  </si>
  <si>
    <t>E732.dat-1</t>
  </si>
  <si>
    <t>E733.dat-1</t>
  </si>
  <si>
    <t>E734.dat-1</t>
  </si>
  <si>
    <t>E735.dat-1</t>
  </si>
  <si>
    <t>E736.dat-1</t>
  </si>
  <si>
    <t>E737.dat-1</t>
  </si>
  <si>
    <t>E738.dat-1</t>
  </si>
  <si>
    <t>E739.dat-1</t>
  </si>
  <si>
    <t>E740.dat-1</t>
  </si>
  <si>
    <t>E741.dat-1</t>
  </si>
  <si>
    <t>E742.dat-1</t>
  </si>
  <si>
    <t>E743.dat-1</t>
  </si>
  <si>
    <t>E744.dat-1</t>
  </si>
  <si>
    <t>E745.dat-1</t>
  </si>
  <si>
    <t>E746.dat-1</t>
  </si>
  <si>
    <t>E747.dat-1</t>
  </si>
  <si>
    <t>E748.dat-1</t>
  </si>
  <si>
    <t>E749.dat-1</t>
  </si>
  <si>
    <t>E750.dat-1</t>
  </si>
  <si>
    <t>E751.dat-1</t>
  </si>
  <si>
    <t>E752.dat-1</t>
  </si>
  <si>
    <t>E753.dat-1</t>
  </si>
  <si>
    <t>E754.dat-1</t>
  </si>
  <si>
    <t>E755.dat-1</t>
  </si>
  <si>
    <t>E756.dat-1</t>
  </si>
  <si>
    <t>E757.dat-1</t>
  </si>
  <si>
    <t>E758.dat-1</t>
  </si>
  <si>
    <t>E759.dat-1</t>
  </si>
  <si>
    <t>E760.dat-1</t>
  </si>
  <si>
    <t>E761.dat-1</t>
  </si>
  <si>
    <t>E762.dat-1</t>
  </si>
  <si>
    <t>E763.dat-1</t>
  </si>
  <si>
    <t>E764.dat-1</t>
  </si>
  <si>
    <t>E765.dat-1</t>
  </si>
  <si>
    <t>E766.dat-1</t>
  </si>
  <si>
    <t>E767.dat-1</t>
  </si>
  <si>
    <t>E768.dat-1</t>
  </si>
  <si>
    <t>E769.dat-1</t>
  </si>
  <si>
    <t>E770.dat-1</t>
  </si>
  <si>
    <t>E771.dat-1</t>
  </si>
  <si>
    <t>E772.dat-1</t>
  </si>
  <si>
    <t>E773.dat-1</t>
  </si>
  <si>
    <t>E774.dat-1</t>
  </si>
  <si>
    <t>E775.dat-1</t>
  </si>
  <si>
    <t>E776.dat-1</t>
  </si>
  <si>
    <t>E777.dat-1</t>
  </si>
  <si>
    <t>E778.dat-1</t>
  </si>
  <si>
    <t>E779.dat-1</t>
  </si>
  <si>
    <t>E780.dat-1</t>
  </si>
  <si>
    <t>E781.dat-1</t>
  </si>
  <si>
    <t>E782.dat-1</t>
  </si>
  <si>
    <t>E783.dat-1</t>
  </si>
  <si>
    <t>E784.dat-1</t>
  </si>
  <si>
    <t>E785.dat-1</t>
  </si>
  <si>
    <t>E786.dat-1</t>
  </si>
  <si>
    <t>E787.dat-1</t>
  </si>
  <si>
    <t>E788.dat-1</t>
  </si>
  <si>
    <t>E789.dat-1</t>
  </si>
  <si>
    <t>E790.dat-1</t>
  </si>
  <si>
    <t>E791.dat-1</t>
  </si>
  <si>
    <t>E792.dat-1</t>
  </si>
  <si>
    <t>E793.dat-1</t>
  </si>
  <si>
    <t>E794.dat-1</t>
  </si>
  <si>
    <t>E795.dat-1</t>
  </si>
  <si>
    <t>E796.dat-1</t>
  </si>
  <si>
    <t>E797.dat-1</t>
  </si>
  <si>
    <t>E798.dat-1</t>
  </si>
  <si>
    <t>E799.dat-1</t>
  </si>
  <si>
    <t>E800.dat-1</t>
  </si>
  <si>
    <t>E801.dat-1</t>
  </si>
  <si>
    <t>E802.dat-1</t>
  </si>
  <si>
    <t>E803.dat-1</t>
  </si>
  <si>
    <t>E804.dat-1</t>
  </si>
  <si>
    <t>E805.dat-1</t>
  </si>
  <si>
    <t>E806.dat-1</t>
  </si>
  <si>
    <t>E807.dat-1</t>
  </si>
  <si>
    <t>E808.dat-1</t>
  </si>
  <si>
    <t>E809.dat-1</t>
  </si>
  <si>
    <t>E810.dat-1</t>
  </si>
  <si>
    <t>E811.dat-1</t>
  </si>
  <si>
    <t>E812.dat-1</t>
  </si>
  <si>
    <t>E813.dat-1</t>
  </si>
  <si>
    <t>E814.dat-1</t>
  </si>
  <si>
    <t>E815.dat-1</t>
  </si>
  <si>
    <t>E816.dat-1</t>
  </si>
  <si>
    <t>E817.dat-1</t>
  </si>
  <si>
    <t>E818.dat-1</t>
  </si>
  <si>
    <t>E819.dat-1</t>
  </si>
  <si>
    <t>E820.dat-1</t>
  </si>
  <si>
    <t>E821.dat-1</t>
  </si>
  <si>
    <t>E822.dat-1</t>
  </si>
  <si>
    <t>E823.dat-1</t>
  </si>
  <si>
    <t>E824.dat-1</t>
  </si>
  <si>
    <t>E825.dat-1</t>
  </si>
  <si>
    <t>E826.dat-1</t>
  </si>
  <si>
    <t>E827.dat-1</t>
  </si>
  <si>
    <t>E828.dat-1</t>
  </si>
  <si>
    <t>E829.dat-1</t>
  </si>
  <si>
    <t>E830.dat-1</t>
  </si>
  <si>
    <t>E831.dat-1</t>
  </si>
  <si>
    <t>E832.dat-1</t>
  </si>
  <si>
    <t>E833.dat-1</t>
  </si>
  <si>
    <t>E834.dat-1</t>
  </si>
  <si>
    <t>E835.dat-1</t>
  </si>
  <si>
    <t>E836.dat-1</t>
  </si>
  <si>
    <t>E837.dat-1</t>
  </si>
  <si>
    <t>E838.dat-1</t>
  </si>
  <si>
    <t>E839.dat-1</t>
  </si>
  <si>
    <t>E840.dat-1</t>
  </si>
  <si>
    <t>E841.dat-1</t>
  </si>
  <si>
    <t>E842.dat-1</t>
  </si>
  <si>
    <t>E843.dat-1</t>
  </si>
  <si>
    <t>E844.dat-1</t>
  </si>
  <si>
    <t>E845.dat-1</t>
  </si>
  <si>
    <t>E846.dat-1</t>
  </si>
  <si>
    <t>E847.dat-1</t>
  </si>
  <si>
    <t>E848.dat-1</t>
  </si>
  <si>
    <t>E849.dat-1</t>
  </si>
  <si>
    <t>E850.dat-1</t>
  </si>
  <si>
    <t>E851.dat-1</t>
  </si>
  <si>
    <t>E852.dat-1</t>
  </si>
  <si>
    <t>E853.dat-1</t>
  </si>
  <si>
    <t>E854.dat-1</t>
  </si>
  <si>
    <t>E855.dat-1</t>
  </si>
  <si>
    <t>E856.dat-1</t>
  </si>
  <si>
    <t>E857.dat-1</t>
  </si>
  <si>
    <t>E858.dat-1</t>
  </si>
  <si>
    <t>E859.dat-1</t>
  </si>
  <si>
    <t>E860.dat-1</t>
  </si>
  <si>
    <t>E861.dat-1</t>
  </si>
  <si>
    <t>E862.dat-1</t>
  </si>
  <si>
    <t>E863.dat-1</t>
  </si>
  <si>
    <t>E864.dat-1</t>
  </si>
  <si>
    <t>E865.dat-1</t>
  </si>
  <si>
    <t>E866.dat-1</t>
  </si>
  <si>
    <t>E867.dat-1</t>
  </si>
  <si>
    <t>E868.dat-1</t>
  </si>
  <si>
    <t>E869.dat-1</t>
  </si>
  <si>
    <t>E870.dat-1</t>
  </si>
  <si>
    <t>E871.dat-1</t>
  </si>
  <si>
    <t>E872.dat-1</t>
  </si>
  <si>
    <t>E873.dat-1</t>
  </si>
  <si>
    <t>E874.dat-1</t>
  </si>
  <si>
    <t>E875.dat-1</t>
  </si>
  <si>
    <t>E876.dat-1</t>
  </si>
  <si>
    <t>E877.dat-1</t>
  </si>
  <si>
    <t>E878.dat-1</t>
  </si>
  <si>
    <t>E879.dat-1</t>
  </si>
  <si>
    <t>E880.dat-1</t>
  </si>
  <si>
    <t>E881.dat-1</t>
  </si>
  <si>
    <t>E882.dat-1</t>
  </si>
  <si>
    <t>E883.dat-1</t>
  </si>
  <si>
    <t>E884.dat-1</t>
  </si>
  <si>
    <t>E885.dat-1</t>
  </si>
  <si>
    <t>E886.dat-1</t>
  </si>
  <si>
    <t>E887.dat-1</t>
  </si>
  <si>
    <t>E888.dat-1</t>
  </si>
  <si>
    <t>E889.dat-1</t>
  </si>
  <si>
    <t>E890.dat-1</t>
  </si>
  <si>
    <t>E891.dat-1</t>
  </si>
  <si>
    <t>E892.dat-1</t>
  </si>
  <si>
    <t>E893.dat-1</t>
  </si>
  <si>
    <t>E894.dat-1</t>
  </si>
  <si>
    <t>E895.dat-1</t>
  </si>
  <si>
    <t>E896.dat-1</t>
  </si>
  <si>
    <t>E897.dat-1</t>
  </si>
  <si>
    <t>E898.dat-1</t>
  </si>
  <si>
    <t>E899.dat-1</t>
  </si>
  <si>
    <t>E900.dat-1</t>
  </si>
  <si>
    <t>E901.dat-1</t>
  </si>
  <si>
    <t>E902.dat-1</t>
  </si>
  <si>
    <t>E903.dat-1</t>
  </si>
  <si>
    <t>E904.dat-1</t>
  </si>
  <si>
    <t>E905.dat-1</t>
  </si>
  <si>
    <t>E906.dat-1</t>
  </si>
  <si>
    <t>E907.dat-1</t>
  </si>
  <si>
    <t>E908.dat-1</t>
  </si>
  <si>
    <t>E909.dat-1</t>
  </si>
  <si>
    <t>E910.dat-1</t>
  </si>
  <si>
    <t>E911.dat-1</t>
  </si>
  <si>
    <t>E912.dat-1</t>
  </si>
  <si>
    <t>E913.dat-1</t>
  </si>
  <si>
    <t>E914.dat-1</t>
  </si>
  <si>
    <t>E915.dat-1</t>
  </si>
  <si>
    <t>E916.dat-1</t>
  </si>
  <si>
    <t>E917.dat-1</t>
  </si>
  <si>
    <t>E918.dat-1</t>
  </si>
  <si>
    <t>E919.dat-1</t>
  </si>
  <si>
    <t>E920.dat-1</t>
  </si>
  <si>
    <t>E921.dat-1</t>
  </si>
  <si>
    <t>E922.dat-1</t>
  </si>
  <si>
    <t>E923.dat-1</t>
  </si>
  <si>
    <t>E924.dat-1</t>
  </si>
  <si>
    <t>E925.dat-1</t>
  </si>
  <si>
    <t>E926.dat-1</t>
  </si>
  <si>
    <t>E927.dat-1</t>
  </si>
  <si>
    <t>E928.dat-1</t>
  </si>
  <si>
    <t>E929.dat-1</t>
  </si>
  <si>
    <t>E930.dat-1</t>
  </si>
  <si>
    <t>E931.dat-1</t>
  </si>
  <si>
    <t>E932.dat-1</t>
  </si>
  <si>
    <t>E933.dat-1</t>
  </si>
  <si>
    <t>E934.dat-1</t>
  </si>
  <si>
    <t>E935.dat-1</t>
  </si>
  <si>
    <t>E936.dat-1</t>
  </si>
  <si>
    <t>E937.dat-1</t>
  </si>
  <si>
    <t>E938.dat-1</t>
  </si>
  <si>
    <t>E939.dat-1</t>
  </si>
  <si>
    <t>E940.dat-1</t>
  </si>
  <si>
    <t>E941.dat-1</t>
  </si>
  <si>
    <t>E942.dat-1</t>
  </si>
  <si>
    <t>E943.dat-1</t>
  </si>
  <si>
    <t>E944.dat-1</t>
  </si>
  <si>
    <t>E945.dat-1</t>
  </si>
  <si>
    <t>E946.dat-1</t>
  </si>
  <si>
    <t>E947.dat-1</t>
  </si>
  <si>
    <t>E948.dat-1</t>
  </si>
  <si>
    <t>E949.dat-1</t>
  </si>
  <si>
    <t>E950.dat-1</t>
  </si>
  <si>
    <t>E951.dat-1</t>
  </si>
  <si>
    <t>E952.dat-1</t>
  </si>
  <si>
    <t>E953.dat-1</t>
  </si>
  <si>
    <t>E954.dat-1</t>
  </si>
  <si>
    <t>E955.dat-1</t>
  </si>
  <si>
    <t>E956.dat-1</t>
  </si>
  <si>
    <t>E957.dat-1</t>
  </si>
  <si>
    <t>E958.dat-1</t>
  </si>
  <si>
    <t>E959.dat-1</t>
  </si>
  <si>
    <t>E960.dat-1</t>
  </si>
  <si>
    <t>E961.dat-1</t>
  </si>
  <si>
    <t>E962.dat-1</t>
  </si>
  <si>
    <t>E963.dat-1</t>
  </si>
  <si>
    <t>E964.dat-1</t>
  </si>
  <si>
    <t>E965.dat-1</t>
  </si>
  <si>
    <t>E966.dat-1</t>
  </si>
  <si>
    <t>E967.dat-1</t>
  </si>
  <si>
    <t>E968.dat-1</t>
  </si>
  <si>
    <t>E969.dat-1</t>
  </si>
  <si>
    <t>E970.dat-1</t>
  </si>
  <si>
    <t>E971.dat-1</t>
  </si>
  <si>
    <t>E972.dat-1</t>
  </si>
  <si>
    <t>E973.dat-1</t>
  </si>
  <si>
    <t>E974.dat-1</t>
  </si>
  <si>
    <t>E975.dat-1</t>
  </si>
  <si>
    <t>E976.dat-1</t>
  </si>
  <si>
    <t>E977.dat-1</t>
  </si>
  <si>
    <t>E978.dat-1</t>
  </si>
  <si>
    <t>E979.dat-1</t>
  </si>
  <si>
    <t>E980.dat-1</t>
  </si>
  <si>
    <t>E981.dat-1</t>
  </si>
  <si>
    <t>E982.dat-1</t>
  </si>
  <si>
    <t>E983.dat-1</t>
  </si>
  <si>
    <t>E984.dat-1</t>
  </si>
  <si>
    <t>E985.dat-1</t>
  </si>
  <si>
    <t>E986.dat-1</t>
  </si>
  <si>
    <t>E987.dat-1</t>
  </si>
  <si>
    <t>E988.dat-1</t>
  </si>
  <si>
    <t>E989.dat-1</t>
  </si>
  <si>
    <t>E990.dat-1</t>
  </si>
  <si>
    <t>E991.dat-1</t>
  </si>
  <si>
    <t>E992.dat-1</t>
  </si>
  <si>
    <t>E993.dat-1</t>
  </si>
  <si>
    <t>E994.dat-1</t>
  </si>
  <si>
    <t>E995.dat-1</t>
  </si>
  <si>
    <t>E996.dat-1</t>
  </si>
  <si>
    <t>E997.dat-1</t>
  </si>
  <si>
    <t>E998.dat-1</t>
  </si>
  <si>
    <t>E999.dat-1</t>
  </si>
  <si>
    <t>E1000.dat-1</t>
  </si>
  <si>
    <t>E1001.dat-1</t>
  </si>
  <si>
    <t>E1002.dat-1</t>
  </si>
  <si>
    <t>E1003.dat-1</t>
  </si>
  <si>
    <t>E1004.dat-1</t>
  </si>
  <si>
    <t>E1005.dat-1</t>
  </si>
  <si>
    <t>E1006.dat-1</t>
  </si>
  <si>
    <t>E1007.dat-1</t>
  </si>
  <si>
    <t>E1008.dat-1</t>
  </si>
  <si>
    <t>E1009.dat-1</t>
  </si>
  <si>
    <t>E1010.dat-1</t>
  </si>
  <si>
    <t>E1011.dat-1</t>
  </si>
  <si>
    <t>E1012.dat-1</t>
  </si>
  <si>
    <t>E1013.dat-1</t>
  </si>
  <si>
    <t>E1014.dat-1</t>
  </si>
  <si>
    <t>E1015.dat-1</t>
  </si>
  <si>
    <t>E1016.dat-1</t>
  </si>
  <si>
    <t>E1017.dat-1</t>
  </si>
  <si>
    <t>E1018.dat-1</t>
  </si>
  <si>
    <t>E1019.dat-1</t>
  </si>
  <si>
    <t>E1020.dat-1</t>
  </si>
  <si>
    <t>E1021.dat-1</t>
  </si>
  <si>
    <t>E1022.dat-1</t>
  </si>
  <si>
    <t>E1023.dat-1</t>
  </si>
  <si>
    <t>E1024.dat-1</t>
  </si>
  <si>
    <t>E1025.dat-1</t>
  </si>
  <si>
    <t>E1026.dat-1</t>
  </si>
  <si>
    <t>E1027.dat-1</t>
  </si>
  <si>
    <t>E1028.dat-1</t>
  </si>
  <si>
    <t>E1029.dat-1</t>
  </si>
  <si>
    <t>E1030.dat-1</t>
  </si>
  <si>
    <t>E1031.dat-1</t>
  </si>
  <si>
    <t>E1032.dat-1</t>
  </si>
  <si>
    <t>E1033.dat-1</t>
  </si>
  <si>
    <t>E1034.dat-1</t>
  </si>
  <si>
    <t>E1035.dat-1</t>
  </si>
  <si>
    <t>E1036.dat-1</t>
  </si>
  <si>
    <t>E1037.dat-1</t>
  </si>
  <si>
    <t>E1038.dat-1</t>
  </si>
  <si>
    <t>E1039.dat-1</t>
  </si>
  <si>
    <t>E1040.dat-1</t>
  </si>
  <si>
    <t>E1041.dat-1</t>
  </si>
  <si>
    <t>E1042.dat-1</t>
  </si>
  <si>
    <t>E1043.dat-1</t>
  </si>
  <si>
    <t>E1044.dat-1</t>
  </si>
  <si>
    <t>E1045.dat-1</t>
  </si>
  <si>
    <t>E1046.dat-1</t>
  </si>
  <si>
    <t>E1047.dat-1</t>
  </si>
  <si>
    <t>E1048.dat-1</t>
  </si>
  <si>
    <t>E1049.dat-1</t>
  </si>
  <si>
    <t>E1050.dat-1</t>
  </si>
  <si>
    <t>E1051.dat-1</t>
  </si>
  <si>
    <t>E1052.dat-1</t>
  </si>
  <si>
    <t>E1053.dat-1</t>
  </si>
  <si>
    <t>E1054.dat-1</t>
  </si>
  <si>
    <t>E1055.dat-1</t>
  </si>
  <si>
    <t>E1056.dat-1</t>
  </si>
  <si>
    <t>E1057.dat-1</t>
  </si>
  <si>
    <t>E1058.dat-1</t>
  </si>
  <si>
    <t>E1059.dat-1</t>
  </si>
  <si>
    <t>E1060.dat-1</t>
  </si>
  <si>
    <t>E1061.dat-1</t>
  </si>
  <si>
    <t>E1062.dat-1</t>
  </si>
  <si>
    <t>E1063.dat-1</t>
  </si>
  <si>
    <t>E1064.dat-1</t>
  </si>
  <si>
    <t>E1065.dat-1</t>
  </si>
  <si>
    <t>E1066.dat-1</t>
  </si>
  <si>
    <t>E1067.dat-1</t>
  </si>
  <si>
    <t>E1068.dat-1</t>
  </si>
  <si>
    <t>E1069.dat-1</t>
  </si>
  <si>
    <t>E1070.dat-1</t>
  </si>
  <si>
    <t>E1071.dat-1</t>
  </si>
  <si>
    <t>E1072.dat-1</t>
  </si>
  <si>
    <t>E1073.dat-1</t>
  </si>
  <si>
    <t>E1074.dat-1</t>
  </si>
  <si>
    <t>E1075.dat-1</t>
  </si>
  <si>
    <t>E1076.dat-1</t>
  </si>
  <si>
    <t>E1077.dat-1</t>
  </si>
  <si>
    <t>E1078.dat-1</t>
  </si>
  <si>
    <t>E1079.dat-1</t>
  </si>
  <si>
    <t>E1080.dat-1</t>
  </si>
  <si>
    <t>E1081.dat-1</t>
  </si>
  <si>
    <t>E1082.dat-1</t>
  </si>
  <si>
    <t>E1083.dat-1</t>
  </si>
  <si>
    <t>E1084.dat-1</t>
  </si>
  <si>
    <t>E1085.dat-1</t>
  </si>
  <si>
    <t>E1086.dat-1</t>
  </si>
  <si>
    <t>E1087.dat-1</t>
  </si>
  <si>
    <t>E1088.dat-1</t>
  </si>
  <si>
    <t>E1089.dat-1</t>
  </si>
  <si>
    <t>E1090.dat-1</t>
  </si>
  <si>
    <t>E1091.dat-1</t>
  </si>
  <si>
    <t>E1092.dat-1</t>
  </si>
  <si>
    <t>E1093.dat-1</t>
  </si>
  <si>
    <t>E1094.dat-1</t>
  </si>
  <si>
    <t>E1095.dat-1</t>
  </si>
  <si>
    <t>E1096.dat-1</t>
  </si>
  <si>
    <t>E1097.dat-1</t>
  </si>
  <si>
    <t>E1098.dat-1</t>
  </si>
  <si>
    <t>min</t>
  </si>
  <si>
    <t>max</t>
  </si>
  <si>
    <t>range</t>
  </si>
  <si>
    <t>Hs</t>
  </si>
  <si>
    <t>Day</t>
  </si>
  <si>
    <t>X-Accel Min</t>
  </si>
  <si>
    <t>X-Accel Max</t>
  </si>
  <si>
    <t>X-Accel Mean</t>
  </si>
  <si>
    <t>X-Disp Min</t>
  </si>
  <si>
    <t>X-Disp Max</t>
  </si>
  <si>
    <t>X-Disp Mean</t>
  </si>
  <si>
    <t>X-NatFreq (Hz)</t>
  </si>
  <si>
    <t>Y-Accel Min</t>
  </si>
  <si>
    <t>Y-Accel Max</t>
  </si>
  <si>
    <t>Y-Accel Mean</t>
  </si>
  <si>
    <t>Y-Disp Min</t>
  </si>
  <si>
    <t>Y-Disp Max</t>
  </si>
  <si>
    <t>Y-Disp Mean</t>
  </si>
  <si>
    <t>Y-NatFreq (Hz)</t>
  </si>
  <si>
    <t>Wave Min (m)</t>
  </si>
  <si>
    <t>Wave Max (m)</t>
  </si>
  <si>
    <t>Wave Mean (m)</t>
  </si>
  <si>
    <t>Hs​ (m)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</si>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</sst>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0" x14ac:knownFonts="1">
    <font>
      <sz val="11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2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22" fontId="1" fillId="0" borderId="3" xfId="0" applyNumberFormat="1" applyFont="1" applyBorder="1"/>
    <xf numFmtId="165" fontId="3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0" fontId="5" fillId="0" borderId="3" xfId="0" applyFont="1" applyBorder="1"/>
    <xf numFmtId="0" fontId="6" fillId="0" borderId="0" xfId="0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165" fontId="1" fillId="3" borderId="0" xfId="0" applyNumberFormat="1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1" fillId="0" borderId="3" xfId="0" applyFont="1" applyBorder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9" fillId="5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MASTER/Methodology%20&amp;%20Result/Methodology/Summarized%20Data/Extra%20Summarized%20Data/NLDP-A%20SUMMARY%20-%20131021.xlsx" TargetMode="External"/><Relationship Id="rId2" Type="http://schemas.openxmlformats.org/officeDocument/2006/relationships/externalLinkPath" Target="file:///C:\Users\N%20O\Desktop\MASTER\Methodology%20&amp;%20Result\Methodology\Summarized%20Data\Extra%20Summarized%20Data\NLDP-A%20SUMMARY%20-%20131021.xlsx" TargetMode="External"/><Relationship Id="rId1" Type="http://schemas.openxmlformats.org/officeDocument/2006/relationships/externalLinkPath" Target="/Users/N%20O/Desktop/MASTER/Methodology%20&amp;%20Result/Methodology/Summarized%20Data/Extra%20Summarized%20Data/NLDP-A%20SUMMARY%20-%20131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LDP-A (10 Days)"/>
      <sheetName val="Daily Summary"/>
      <sheetName val="Summary"/>
      <sheetName val="EW_NF Daily"/>
      <sheetName val="NS_NF Daily"/>
      <sheetName val="EW_Accel"/>
      <sheetName val="NS_Accel"/>
      <sheetName val="EW_Disp"/>
      <sheetName val="NS_Disp"/>
      <sheetName val="Wa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B8">
            <v>44467.005972222221</v>
          </cell>
          <cell r="C8">
            <v>12.819000000000001</v>
          </cell>
          <cell r="D8">
            <v>12.648999999999999</v>
          </cell>
          <cell r="E8">
            <v>0.61699999999999999</v>
          </cell>
          <cell r="F8">
            <v>0.33172043010752689</v>
          </cell>
        </row>
        <row r="9">
          <cell r="B9">
            <v>44467.047638888886</v>
          </cell>
          <cell r="C9">
            <v>11.584</v>
          </cell>
          <cell r="D9">
            <v>10.808</v>
          </cell>
          <cell r="E9">
            <v>2.2429999999999999</v>
          </cell>
          <cell r="F9">
            <v>1.2059139784946236</v>
          </cell>
        </row>
        <row r="10">
          <cell r="B10">
            <v>44467.110138657408</v>
          </cell>
          <cell r="C10">
            <v>9.9870000000000001</v>
          </cell>
          <cell r="D10">
            <v>9.3970000000000002</v>
          </cell>
          <cell r="E10">
            <v>1.4790000000000001</v>
          </cell>
          <cell r="F10">
            <v>0.79516129032258065</v>
          </cell>
        </row>
        <row r="11">
          <cell r="B11">
            <v>44467.172638483797</v>
          </cell>
          <cell r="C11">
            <v>9.9849999999999994</v>
          </cell>
          <cell r="D11">
            <v>8.6890000000000001</v>
          </cell>
          <cell r="E11">
            <v>1.5740000000000001</v>
          </cell>
          <cell r="F11">
            <v>0.84623655913978491</v>
          </cell>
        </row>
        <row r="12">
          <cell r="B12">
            <v>44467.235138310185</v>
          </cell>
          <cell r="C12">
            <v>8.375</v>
          </cell>
          <cell r="D12">
            <v>7.6630000000000003</v>
          </cell>
          <cell r="E12">
            <v>0.56699999999999995</v>
          </cell>
          <cell r="F12">
            <v>0.30483870967741933</v>
          </cell>
        </row>
        <row r="13">
          <cell r="B13">
            <v>44467.297638136573</v>
          </cell>
          <cell r="C13">
            <v>8.4580000000000002</v>
          </cell>
          <cell r="D13">
            <v>7.2080000000000002</v>
          </cell>
          <cell r="E13">
            <v>0.59199999999999997</v>
          </cell>
          <cell r="F13">
            <v>0.31827956989247308</v>
          </cell>
        </row>
        <row r="14">
          <cell r="B14">
            <v>44467.360137962962</v>
          </cell>
          <cell r="C14">
            <v>7.6769999999999996</v>
          </cell>
          <cell r="D14">
            <v>6.7990000000000004</v>
          </cell>
          <cell r="E14">
            <v>0.51800000000000002</v>
          </cell>
          <cell r="F14">
            <v>0.27849462365591399</v>
          </cell>
        </row>
        <row r="15">
          <cell r="B15">
            <v>44467.401804513887</v>
          </cell>
          <cell r="C15">
            <v>7.1559999999999997</v>
          </cell>
          <cell r="D15">
            <v>6.4139999999999997</v>
          </cell>
          <cell r="E15">
            <v>0.52500000000000002</v>
          </cell>
          <cell r="F15">
            <v>0.282258064516129</v>
          </cell>
        </row>
        <row r="16">
          <cell r="B16">
            <v>44467.443471064813</v>
          </cell>
          <cell r="C16">
            <v>7.266</v>
          </cell>
          <cell r="D16">
            <v>6.0309999999999997</v>
          </cell>
          <cell r="E16">
            <v>0.51900000000000002</v>
          </cell>
          <cell r="F16">
            <v>0.27903225806451615</v>
          </cell>
        </row>
        <row r="17">
          <cell r="B17">
            <v>44467.485137615738</v>
          </cell>
          <cell r="C17">
            <v>9.3390000000000004</v>
          </cell>
          <cell r="D17">
            <v>7.05</v>
          </cell>
          <cell r="E17">
            <v>0.58599999999999997</v>
          </cell>
          <cell r="F17">
            <v>0.31505376344086017</v>
          </cell>
        </row>
        <row r="18">
          <cell r="B18">
            <v>44467.526804166664</v>
          </cell>
          <cell r="C18">
            <v>11.054</v>
          </cell>
          <cell r="D18">
            <v>8.9329999999999998</v>
          </cell>
          <cell r="E18">
            <v>0.56100000000000005</v>
          </cell>
          <cell r="F18">
            <v>0.30161290322580647</v>
          </cell>
        </row>
        <row r="19">
          <cell r="B19">
            <v>44467.56847071759</v>
          </cell>
          <cell r="C19">
            <v>11.612</v>
          </cell>
          <cell r="D19">
            <v>9.6769999999999996</v>
          </cell>
          <cell r="E19">
            <v>0.58199999999999996</v>
          </cell>
          <cell r="F19">
            <v>0.31290322580645158</v>
          </cell>
        </row>
        <row r="20">
          <cell r="B20">
            <v>44467.610137268515</v>
          </cell>
          <cell r="C20">
            <v>11.672000000000001</v>
          </cell>
          <cell r="D20">
            <v>9.7159999999999993</v>
          </cell>
          <cell r="E20">
            <v>0.64300000000000002</v>
          </cell>
          <cell r="F20">
            <v>0.3456989247311828</v>
          </cell>
        </row>
        <row r="21">
          <cell r="B21">
            <v>44467.651803819441</v>
          </cell>
          <cell r="C21">
            <v>11.944000000000001</v>
          </cell>
          <cell r="D21">
            <v>10.757999999999999</v>
          </cell>
          <cell r="E21">
            <v>0.59599999999999997</v>
          </cell>
          <cell r="F21">
            <v>0.32043010752688167</v>
          </cell>
        </row>
        <row r="22">
          <cell r="B22">
            <v>44467.693470370374</v>
          </cell>
          <cell r="C22">
            <v>12.462</v>
          </cell>
          <cell r="D22">
            <v>10.613</v>
          </cell>
          <cell r="E22">
            <v>0.64500000000000002</v>
          </cell>
          <cell r="F22">
            <v>0.34677419354838707</v>
          </cell>
        </row>
        <row r="23">
          <cell r="B23">
            <v>44467.735136921299</v>
          </cell>
          <cell r="C23">
            <v>13.097</v>
          </cell>
          <cell r="D23">
            <v>10.814</v>
          </cell>
          <cell r="E23">
            <v>0.62</v>
          </cell>
          <cell r="F23">
            <v>0.33333333333333331</v>
          </cell>
        </row>
        <row r="24">
          <cell r="B24">
            <v>44467.776803472225</v>
          </cell>
          <cell r="C24">
            <v>11.695</v>
          </cell>
          <cell r="D24">
            <v>10.340999999999999</v>
          </cell>
          <cell r="E24">
            <v>0.745</v>
          </cell>
          <cell r="F24">
            <v>0.40053763440860213</v>
          </cell>
        </row>
        <row r="25">
          <cell r="B25">
            <v>44467.81847002315</v>
          </cell>
          <cell r="C25">
            <v>12.920999999999999</v>
          </cell>
          <cell r="D25">
            <v>10.895</v>
          </cell>
          <cell r="E25">
            <v>0.71599999999999997</v>
          </cell>
          <cell r="F25">
            <v>0.38494623655913973</v>
          </cell>
        </row>
        <row r="26">
          <cell r="B26">
            <v>44467.860136574076</v>
          </cell>
          <cell r="C26">
            <v>13.864000000000001</v>
          </cell>
          <cell r="D26">
            <v>12.743</v>
          </cell>
          <cell r="E26">
            <v>1.5640000000000001</v>
          </cell>
          <cell r="F26">
            <v>0.8408602150537634</v>
          </cell>
        </row>
        <row r="27">
          <cell r="B27">
            <v>44467.901803125002</v>
          </cell>
          <cell r="C27">
            <v>14.221</v>
          </cell>
          <cell r="D27">
            <v>12.436</v>
          </cell>
          <cell r="E27">
            <v>0.58599999999999997</v>
          </cell>
          <cell r="F27">
            <v>0.31505376344086017</v>
          </cell>
        </row>
        <row r="28">
          <cell r="B28">
            <v>44467.943469675927</v>
          </cell>
          <cell r="C28">
            <v>13.547000000000001</v>
          </cell>
          <cell r="D28">
            <v>11.648</v>
          </cell>
          <cell r="E28">
            <v>0.55700000000000005</v>
          </cell>
          <cell r="F28">
            <v>0.29946236559139788</v>
          </cell>
        </row>
        <row r="29">
          <cell r="B29">
            <v>44467.985136226853</v>
          </cell>
          <cell r="C29">
            <v>13.164999999999999</v>
          </cell>
          <cell r="D29">
            <v>11.76</v>
          </cell>
          <cell r="E29">
            <v>2.3490000000000002</v>
          </cell>
          <cell r="F29">
            <v>1.2629032258064516</v>
          </cell>
        </row>
        <row r="30">
          <cell r="B30">
            <v>44468.026802777778</v>
          </cell>
          <cell r="C30">
            <v>13.044</v>
          </cell>
          <cell r="D30">
            <v>11.824</v>
          </cell>
          <cell r="E30">
            <v>2.8149999999999999</v>
          </cell>
          <cell r="F30">
            <v>1.5134408602150538</v>
          </cell>
        </row>
        <row r="31">
          <cell r="B31">
            <v>44468.068469328704</v>
          </cell>
          <cell r="C31">
            <v>13.521000000000001</v>
          </cell>
          <cell r="D31">
            <v>12.061</v>
          </cell>
          <cell r="E31">
            <v>0.60799999999999998</v>
          </cell>
          <cell r="F31">
            <v>0.32688172043010749</v>
          </cell>
        </row>
        <row r="32">
          <cell r="B32">
            <v>44468.11013587963</v>
          </cell>
          <cell r="C32">
            <v>13.365</v>
          </cell>
          <cell r="D32">
            <v>11.95</v>
          </cell>
          <cell r="E32">
            <v>0.622</v>
          </cell>
          <cell r="F32">
            <v>0.33440860215053764</v>
          </cell>
        </row>
        <row r="33">
          <cell r="B33">
            <v>44468.151802430555</v>
          </cell>
          <cell r="C33">
            <v>13.412000000000001</v>
          </cell>
          <cell r="D33">
            <v>11.619</v>
          </cell>
          <cell r="E33">
            <v>2.282</v>
          </cell>
          <cell r="F33">
            <v>1.2268817204301075</v>
          </cell>
        </row>
        <row r="34">
          <cell r="B34">
            <v>44468.193468981481</v>
          </cell>
          <cell r="C34">
            <v>12.185</v>
          </cell>
          <cell r="D34">
            <v>11.638999999999999</v>
          </cell>
          <cell r="E34">
            <v>0.57399999999999995</v>
          </cell>
          <cell r="F34">
            <v>0.30860215053763435</v>
          </cell>
        </row>
        <row r="35">
          <cell r="B35">
            <v>44468.235135532406</v>
          </cell>
          <cell r="C35">
            <v>12.105</v>
          </cell>
          <cell r="D35">
            <v>11.83</v>
          </cell>
          <cell r="E35">
            <v>2.194</v>
          </cell>
          <cell r="F35">
            <v>1.1795698924731182</v>
          </cell>
        </row>
        <row r="36">
          <cell r="B36">
            <v>44468.276802083332</v>
          </cell>
          <cell r="C36">
            <v>11.843999999999999</v>
          </cell>
          <cell r="D36">
            <v>11.496</v>
          </cell>
          <cell r="E36">
            <v>0.58499999999999996</v>
          </cell>
          <cell r="F36">
            <v>0.31451612903225801</v>
          </cell>
        </row>
        <row r="37">
          <cell r="B37">
            <v>44468.318468634257</v>
          </cell>
          <cell r="C37">
            <v>12.013999999999999</v>
          </cell>
          <cell r="D37">
            <v>11.381</v>
          </cell>
          <cell r="E37">
            <v>2.3130000000000002</v>
          </cell>
          <cell r="F37">
            <v>1.2435483870967743</v>
          </cell>
        </row>
        <row r="38">
          <cell r="B38">
            <v>44468.360135185183</v>
          </cell>
          <cell r="C38">
            <v>11.238</v>
          </cell>
          <cell r="D38">
            <v>10.923999999999999</v>
          </cell>
          <cell r="E38">
            <v>2.1930000000000001</v>
          </cell>
          <cell r="F38">
            <v>1.1790322580645161</v>
          </cell>
        </row>
        <row r="39">
          <cell r="B39">
            <v>44468.401801736109</v>
          </cell>
          <cell r="C39">
            <v>12.429</v>
          </cell>
          <cell r="D39">
            <v>12.491</v>
          </cell>
          <cell r="E39">
            <v>2.3250000000000002</v>
          </cell>
          <cell r="F39">
            <v>1.25</v>
          </cell>
        </row>
        <row r="40">
          <cell r="B40">
            <v>44468.443468287034</v>
          </cell>
          <cell r="C40">
            <v>13.214</v>
          </cell>
          <cell r="D40">
            <v>13.462</v>
          </cell>
          <cell r="E40">
            <v>2.3740000000000001</v>
          </cell>
          <cell r="F40">
            <v>1.2763440860215054</v>
          </cell>
        </row>
        <row r="41">
          <cell r="B41">
            <v>44468.48513483796</v>
          </cell>
          <cell r="C41">
            <v>13.071</v>
          </cell>
          <cell r="D41">
            <v>12.086</v>
          </cell>
          <cell r="E41">
            <v>2.3740000000000001</v>
          </cell>
          <cell r="F41">
            <v>1.2763440860215054</v>
          </cell>
        </row>
        <row r="42">
          <cell r="B42">
            <v>44468.526801388885</v>
          </cell>
          <cell r="C42">
            <v>12.176</v>
          </cell>
          <cell r="D42">
            <v>10.895</v>
          </cell>
          <cell r="E42">
            <v>1.5669999999999999</v>
          </cell>
          <cell r="F42">
            <v>0.84247311827956983</v>
          </cell>
        </row>
        <row r="43">
          <cell r="B43">
            <v>44468.568467939818</v>
          </cell>
          <cell r="C43">
            <v>12.031000000000001</v>
          </cell>
          <cell r="D43">
            <v>10.465</v>
          </cell>
          <cell r="E43">
            <v>0.54400000000000004</v>
          </cell>
          <cell r="F43">
            <v>0.2924731182795699</v>
          </cell>
        </row>
        <row r="44">
          <cell r="B44">
            <v>44468.610134490744</v>
          </cell>
          <cell r="C44">
            <v>12.865</v>
          </cell>
          <cell r="D44">
            <v>11.52</v>
          </cell>
          <cell r="E44">
            <v>0.56299999999999994</v>
          </cell>
          <cell r="F44">
            <v>0.30268817204301068</v>
          </cell>
        </row>
        <row r="45">
          <cell r="B45">
            <v>44468.651801041669</v>
          </cell>
          <cell r="C45">
            <v>11.666</v>
          </cell>
          <cell r="D45">
            <v>10.134</v>
          </cell>
          <cell r="E45">
            <v>0.53200000000000003</v>
          </cell>
          <cell r="F45">
            <v>0.28602150537634408</v>
          </cell>
        </row>
        <row r="46">
          <cell r="B46">
            <v>44468.693467592595</v>
          </cell>
          <cell r="C46">
            <v>11.861000000000001</v>
          </cell>
          <cell r="D46">
            <v>10.481</v>
          </cell>
          <cell r="E46">
            <v>0.54</v>
          </cell>
          <cell r="F46">
            <v>0.29032258064516131</v>
          </cell>
        </row>
        <row r="47">
          <cell r="B47">
            <v>44468.735134143521</v>
          </cell>
          <cell r="C47">
            <v>11.25</v>
          </cell>
          <cell r="D47">
            <v>9.9009999999999998</v>
          </cell>
          <cell r="E47">
            <v>1.7470000000000001</v>
          </cell>
          <cell r="F47">
            <v>0.93924731182795695</v>
          </cell>
        </row>
        <row r="48">
          <cell r="B48">
            <v>44468.776800694446</v>
          </cell>
          <cell r="C48">
            <v>11.058999999999999</v>
          </cell>
          <cell r="D48">
            <v>9.5359999999999996</v>
          </cell>
          <cell r="E48">
            <v>2.2093000000000025</v>
          </cell>
          <cell r="F48">
            <v>1.1877956989247325</v>
          </cell>
        </row>
        <row r="49">
          <cell r="B49">
            <v>44468.818467245372</v>
          </cell>
          <cell r="C49">
            <v>10.894</v>
          </cell>
          <cell r="D49">
            <v>9.0359999999999996</v>
          </cell>
          <cell r="E49">
            <v>2.6160000000000001</v>
          </cell>
          <cell r="F49">
            <v>1.4064516129032258</v>
          </cell>
        </row>
        <row r="50">
          <cell r="B50">
            <v>44468.860133796297</v>
          </cell>
          <cell r="C50">
            <v>11.087999999999999</v>
          </cell>
          <cell r="D50">
            <v>9.8989999999999991</v>
          </cell>
          <cell r="E50">
            <v>0.501</v>
          </cell>
          <cell r="F50">
            <v>0.26935483870967741</v>
          </cell>
        </row>
        <row r="51">
          <cell r="B51">
            <v>44468.901800347223</v>
          </cell>
          <cell r="C51">
            <v>11.532</v>
          </cell>
          <cell r="D51">
            <v>10.449</v>
          </cell>
          <cell r="E51">
            <v>0.51800000000000002</v>
          </cell>
          <cell r="F51">
            <v>0.27849462365591399</v>
          </cell>
        </row>
        <row r="52">
          <cell r="B52">
            <v>44468.943466898148</v>
          </cell>
          <cell r="C52">
            <v>10.435</v>
          </cell>
          <cell r="D52">
            <v>9.9860000000000007</v>
          </cell>
          <cell r="E52">
            <v>0.55000000000000004</v>
          </cell>
          <cell r="F52">
            <v>0.29569892473118281</v>
          </cell>
        </row>
        <row r="53">
          <cell r="B53">
            <v>44468.985133449074</v>
          </cell>
          <cell r="C53">
            <v>11.374000000000001</v>
          </cell>
          <cell r="D53">
            <v>10.057</v>
          </cell>
          <cell r="E53">
            <v>1.635</v>
          </cell>
          <cell r="F53">
            <v>0.87903225806451613</v>
          </cell>
        </row>
        <row r="54">
          <cell r="B54">
            <v>44469.0268</v>
          </cell>
          <cell r="C54">
            <v>11.441000000000001</v>
          </cell>
          <cell r="D54">
            <v>10.554</v>
          </cell>
          <cell r="E54">
            <v>0.54500000000000004</v>
          </cell>
          <cell r="F54">
            <v>0.29301075268817206</v>
          </cell>
        </row>
        <row r="55">
          <cell r="B55">
            <v>44469.068466550925</v>
          </cell>
          <cell r="C55">
            <v>12.375999999999999</v>
          </cell>
          <cell r="D55">
            <v>10.667999999999999</v>
          </cell>
          <cell r="E55">
            <v>0.51800000000000002</v>
          </cell>
          <cell r="F55">
            <v>0.27849462365591399</v>
          </cell>
        </row>
        <row r="56">
          <cell r="B56">
            <v>44469.110133101851</v>
          </cell>
          <cell r="C56">
            <v>11.504</v>
          </cell>
          <cell r="D56">
            <v>10.94</v>
          </cell>
          <cell r="E56">
            <v>0.47599999999999998</v>
          </cell>
          <cell r="F56">
            <v>0.25591397849462361</v>
          </cell>
        </row>
        <row r="57">
          <cell r="B57">
            <v>44469.151799652776</v>
          </cell>
          <cell r="C57">
            <v>10.416</v>
          </cell>
          <cell r="D57">
            <v>9.7200000000000006</v>
          </cell>
          <cell r="E57">
            <v>0.53100000000000003</v>
          </cell>
          <cell r="F57">
            <v>0.28548387096774192</v>
          </cell>
        </row>
        <row r="58">
          <cell r="B58">
            <v>44469.193466203702</v>
          </cell>
          <cell r="C58">
            <v>9.4359999999999999</v>
          </cell>
          <cell r="D58">
            <v>9.4550000000000001</v>
          </cell>
          <cell r="E58">
            <v>0.624</v>
          </cell>
          <cell r="F58">
            <v>0.3354838709677419</v>
          </cell>
        </row>
        <row r="59">
          <cell r="B59">
            <v>44469.235132754628</v>
          </cell>
          <cell r="C59">
            <v>10.151</v>
          </cell>
          <cell r="D59">
            <v>9.4700000000000006</v>
          </cell>
          <cell r="E59">
            <v>1.3049999999999999</v>
          </cell>
          <cell r="F59">
            <v>0.70161290322580638</v>
          </cell>
        </row>
        <row r="60">
          <cell r="B60">
            <v>44469.276799305553</v>
          </cell>
          <cell r="C60">
            <v>8.7850000000000001</v>
          </cell>
          <cell r="D60">
            <v>7.9509999999999996</v>
          </cell>
          <cell r="E60">
            <v>0.67100000000000004</v>
          </cell>
          <cell r="F60">
            <v>0.36075268817204303</v>
          </cell>
        </row>
        <row r="61">
          <cell r="B61">
            <v>44469.318465856479</v>
          </cell>
          <cell r="C61">
            <v>9.5039999999999996</v>
          </cell>
          <cell r="D61">
            <v>8.4049999999999994</v>
          </cell>
          <cell r="E61">
            <v>0.63800000000000001</v>
          </cell>
          <cell r="F61">
            <v>0.34301075268817205</v>
          </cell>
        </row>
        <row r="62">
          <cell r="B62">
            <v>44469.360132407404</v>
          </cell>
          <cell r="C62">
            <v>8.7789999999999999</v>
          </cell>
          <cell r="D62">
            <v>7.4749999999999996</v>
          </cell>
          <cell r="E62">
            <v>0.58099999999999996</v>
          </cell>
          <cell r="F62">
            <v>0.31236559139784942</v>
          </cell>
        </row>
        <row r="63">
          <cell r="B63">
            <v>44469.40179895833</v>
          </cell>
          <cell r="C63">
            <v>8.6180000000000003</v>
          </cell>
          <cell r="D63">
            <v>7.6269999999999998</v>
          </cell>
          <cell r="E63">
            <v>0.56999999999999995</v>
          </cell>
          <cell r="F63">
            <v>0.30645161290322576</v>
          </cell>
        </row>
        <row r="64">
          <cell r="B64">
            <v>44469.443465509263</v>
          </cell>
          <cell r="C64">
            <v>8.2590000000000003</v>
          </cell>
          <cell r="D64">
            <v>7.0970000000000004</v>
          </cell>
          <cell r="E64">
            <v>0.7</v>
          </cell>
          <cell r="F64">
            <v>0.37634408602150532</v>
          </cell>
        </row>
        <row r="65">
          <cell r="B65">
            <v>44469.485132060188</v>
          </cell>
          <cell r="C65">
            <v>7.6980000000000004</v>
          </cell>
          <cell r="D65">
            <v>6.992</v>
          </cell>
          <cell r="E65">
            <v>0.60899999999999999</v>
          </cell>
          <cell r="F65">
            <v>0.32741935483870965</v>
          </cell>
        </row>
        <row r="66">
          <cell r="B66">
            <v>44469.526798611114</v>
          </cell>
          <cell r="C66">
            <v>7.6580000000000004</v>
          </cell>
          <cell r="D66">
            <v>6.6059999999999999</v>
          </cell>
          <cell r="E66">
            <v>0.60499999999999998</v>
          </cell>
          <cell r="F66">
            <v>0.32526881720430106</v>
          </cell>
        </row>
        <row r="67">
          <cell r="B67">
            <v>44469.56846516204</v>
          </cell>
          <cell r="C67">
            <v>7.4640000000000004</v>
          </cell>
          <cell r="D67">
            <v>6.5629999999999997</v>
          </cell>
          <cell r="E67">
            <v>0.747</v>
          </cell>
          <cell r="F67">
            <v>0.40161290322580645</v>
          </cell>
        </row>
        <row r="68">
          <cell r="B68">
            <v>44469.610131712965</v>
          </cell>
          <cell r="C68">
            <v>7.9610000000000003</v>
          </cell>
          <cell r="D68">
            <v>6.9260000000000002</v>
          </cell>
          <cell r="E68">
            <v>0.83599999999999997</v>
          </cell>
          <cell r="F68">
            <v>0.44946236559139779</v>
          </cell>
        </row>
        <row r="69">
          <cell r="B69">
            <v>44469.651798263891</v>
          </cell>
          <cell r="C69">
            <v>8.6170000000000009</v>
          </cell>
          <cell r="D69">
            <v>6.5190000000000001</v>
          </cell>
          <cell r="E69">
            <v>0.78600000000000003</v>
          </cell>
          <cell r="F69">
            <v>0.42258064516129029</v>
          </cell>
        </row>
        <row r="70">
          <cell r="B70">
            <v>44469.693464814816</v>
          </cell>
          <cell r="C70">
            <v>6.8959999999999999</v>
          </cell>
          <cell r="D70">
            <v>5.84</v>
          </cell>
          <cell r="E70">
            <v>0.63</v>
          </cell>
          <cell r="F70">
            <v>0.33870967741935482</v>
          </cell>
        </row>
        <row r="71">
          <cell r="B71">
            <v>44469.735131365742</v>
          </cell>
          <cell r="C71">
            <v>7.28</v>
          </cell>
          <cell r="D71">
            <v>6.4139999999999997</v>
          </cell>
          <cell r="E71">
            <v>0.81599999999999995</v>
          </cell>
          <cell r="F71">
            <v>0.43870967741935479</v>
          </cell>
        </row>
        <row r="72">
          <cell r="B72">
            <v>44469.776797916667</v>
          </cell>
          <cell r="C72">
            <v>12.391</v>
          </cell>
          <cell r="D72">
            <v>9.73</v>
          </cell>
          <cell r="E72">
            <v>2.4239999999999999</v>
          </cell>
          <cell r="F72">
            <v>1.3032258064516129</v>
          </cell>
        </row>
        <row r="73">
          <cell r="B73">
            <v>44469.818464467593</v>
          </cell>
          <cell r="C73">
            <v>19.065000000000001</v>
          </cell>
          <cell r="D73">
            <v>17.302</v>
          </cell>
          <cell r="E73">
            <v>1.2549999999999999</v>
          </cell>
          <cell r="F73">
            <v>0.67473118279569888</v>
          </cell>
        </row>
        <row r="74">
          <cell r="B74">
            <v>44469.860131018519</v>
          </cell>
          <cell r="C74">
            <v>29.597999999999999</v>
          </cell>
          <cell r="D74">
            <v>23.902999999999999</v>
          </cell>
          <cell r="E74">
            <v>1.8580000000000001</v>
          </cell>
          <cell r="F74">
            <v>0.99892473118279568</v>
          </cell>
        </row>
        <row r="75">
          <cell r="B75">
            <v>44469.901797569444</v>
          </cell>
          <cell r="C75">
            <v>34.957999999999998</v>
          </cell>
          <cell r="D75">
            <v>30.216000000000001</v>
          </cell>
          <cell r="E75">
            <v>2.956</v>
          </cell>
          <cell r="F75">
            <v>1.5892473118279569</v>
          </cell>
        </row>
        <row r="76">
          <cell r="B76">
            <v>44469.94346412037</v>
          </cell>
          <cell r="C76">
            <v>34.622</v>
          </cell>
          <cell r="D76">
            <v>33.052999999999997</v>
          </cell>
          <cell r="E76">
            <v>2.9605999999999995</v>
          </cell>
          <cell r="F76">
            <v>1.5917204301075265</v>
          </cell>
        </row>
        <row r="77">
          <cell r="B77">
            <v>44469.985130671295</v>
          </cell>
          <cell r="C77">
            <v>33.100999999999999</v>
          </cell>
          <cell r="D77">
            <v>28.579000000000001</v>
          </cell>
          <cell r="E77">
            <v>2.5329999999999999</v>
          </cell>
          <cell r="F77">
            <v>1.3618279569892473</v>
          </cell>
        </row>
        <row r="78">
          <cell r="B78">
            <v>44470.026797222221</v>
          </cell>
          <cell r="C78">
            <v>28.922999999999998</v>
          </cell>
          <cell r="D78">
            <v>28.838999999999999</v>
          </cell>
          <cell r="E78">
            <v>1.835</v>
          </cell>
          <cell r="F78">
            <v>0.98655913978494614</v>
          </cell>
        </row>
        <row r="79">
          <cell r="B79">
            <v>44470.068463773147</v>
          </cell>
          <cell r="C79">
            <v>27.629000000000001</v>
          </cell>
          <cell r="D79">
            <v>28.867999999999999</v>
          </cell>
          <cell r="E79">
            <v>1.82</v>
          </cell>
          <cell r="F79">
            <v>0.978494623655914</v>
          </cell>
        </row>
        <row r="80">
          <cell r="B80">
            <v>44470.110130324072</v>
          </cell>
          <cell r="C80">
            <v>29.077999999999999</v>
          </cell>
          <cell r="D80">
            <v>26.798999999999999</v>
          </cell>
          <cell r="E80">
            <v>2.125</v>
          </cell>
          <cell r="F80">
            <v>1.1424731182795698</v>
          </cell>
        </row>
        <row r="81">
          <cell r="B81">
            <v>44470.151796874998</v>
          </cell>
          <cell r="C81">
            <v>29.288</v>
          </cell>
          <cell r="D81">
            <v>25.335999999999999</v>
          </cell>
          <cell r="E81">
            <v>1.623</v>
          </cell>
          <cell r="F81">
            <v>0.8725806451612903</v>
          </cell>
        </row>
        <row r="82">
          <cell r="B82">
            <v>44470.193463425923</v>
          </cell>
          <cell r="C82">
            <v>29.297999999999998</v>
          </cell>
          <cell r="D82">
            <v>26.318000000000001</v>
          </cell>
          <cell r="E82">
            <v>1.573</v>
          </cell>
          <cell r="F82">
            <v>0.84569892473118269</v>
          </cell>
        </row>
        <row r="83">
          <cell r="B83">
            <v>44470.235129976849</v>
          </cell>
          <cell r="C83">
            <v>27.062000000000001</v>
          </cell>
          <cell r="D83">
            <v>26.064</v>
          </cell>
          <cell r="E83">
            <v>3.0659999999999998</v>
          </cell>
          <cell r="F83">
            <v>1.6483870967741934</v>
          </cell>
        </row>
        <row r="84">
          <cell r="B84">
            <v>44470.276796527774</v>
          </cell>
          <cell r="C84">
            <v>27.122</v>
          </cell>
          <cell r="D84">
            <v>24.704999999999998</v>
          </cell>
          <cell r="E84">
            <v>1.6850000000000001</v>
          </cell>
          <cell r="F84">
            <v>0.90591397849462363</v>
          </cell>
        </row>
        <row r="85">
          <cell r="B85">
            <v>44470.318463078707</v>
          </cell>
          <cell r="C85">
            <v>24.911999999999999</v>
          </cell>
          <cell r="D85">
            <v>26.126999999999999</v>
          </cell>
          <cell r="E85">
            <v>1.506</v>
          </cell>
          <cell r="F85">
            <v>0.80967741935483872</v>
          </cell>
        </row>
        <row r="86">
          <cell r="B86">
            <v>44470.360129629633</v>
          </cell>
          <cell r="C86">
            <v>26.853999999999999</v>
          </cell>
          <cell r="D86">
            <v>25.984999999999999</v>
          </cell>
          <cell r="E86">
            <v>1.7749999999999999</v>
          </cell>
          <cell r="F86">
            <v>0.95430107526881713</v>
          </cell>
        </row>
        <row r="87">
          <cell r="B87">
            <v>44470.401796180558</v>
          </cell>
          <cell r="C87">
            <v>26.736000000000001</v>
          </cell>
          <cell r="D87">
            <v>25.306999999999999</v>
          </cell>
          <cell r="E87">
            <v>2.1230000000000002</v>
          </cell>
          <cell r="F87">
            <v>1.1413978494623656</v>
          </cell>
        </row>
        <row r="88">
          <cell r="B88">
            <v>44470.443462731484</v>
          </cell>
          <cell r="C88">
            <v>26.687999999999999</v>
          </cell>
          <cell r="D88">
            <v>24.062000000000001</v>
          </cell>
          <cell r="E88">
            <v>2.3875999999999991</v>
          </cell>
          <cell r="F88">
            <v>1.283655913978494</v>
          </cell>
        </row>
        <row r="89">
          <cell r="B89">
            <v>44470.48512928241</v>
          </cell>
          <cell r="C89">
            <v>25.545999999999999</v>
          </cell>
          <cell r="D89">
            <v>23.48</v>
          </cell>
          <cell r="E89">
            <v>2.232999999999997</v>
          </cell>
          <cell r="F89">
            <v>1.2005376344086005</v>
          </cell>
        </row>
        <row r="90">
          <cell r="B90">
            <v>44470.526795833335</v>
          </cell>
          <cell r="C90">
            <v>28.196999999999999</v>
          </cell>
          <cell r="D90">
            <v>23.904</v>
          </cell>
          <cell r="E90">
            <v>1.75</v>
          </cell>
          <cell r="F90">
            <v>0.94086021505376338</v>
          </cell>
        </row>
        <row r="91">
          <cell r="B91">
            <v>44470.568462384261</v>
          </cell>
          <cell r="C91">
            <v>27.527999999999999</v>
          </cell>
          <cell r="D91">
            <v>23.88</v>
          </cell>
          <cell r="E91">
            <v>3.6819999999999999</v>
          </cell>
          <cell r="F91">
            <v>1.9795698924731182</v>
          </cell>
        </row>
        <row r="92">
          <cell r="B92">
            <v>44470.610128935186</v>
          </cell>
          <cell r="C92">
            <v>27.459</v>
          </cell>
          <cell r="D92">
            <v>23.544</v>
          </cell>
          <cell r="E92">
            <v>2.4329999999999998</v>
          </cell>
          <cell r="F92">
            <v>1.3080645161290321</v>
          </cell>
        </row>
        <row r="93">
          <cell r="B93">
            <v>44470.651795486112</v>
          </cell>
          <cell r="C93">
            <v>27.643999999999998</v>
          </cell>
          <cell r="D93">
            <v>24.143000000000001</v>
          </cell>
          <cell r="E93">
            <v>2.448</v>
          </cell>
          <cell r="F93">
            <v>1.3161290322580643</v>
          </cell>
        </row>
        <row r="94">
          <cell r="B94">
            <v>44470.693462037038</v>
          </cell>
          <cell r="C94">
            <v>27.629000000000001</v>
          </cell>
          <cell r="D94">
            <v>22.728999999999999</v>
          </cell>
          <cell r="E94">
            <v>1.4650000000000001</v>
          </cell>
          <cell r="F94">
            <v>0.7876344086021505</v>
          </cell>
        </row>
        <row r="95">
          <cell r="B95">
            <v>44470.735128587963</v>
          </cell>
          <cell r="C95">
            <v>27.483000000000001</v>
          </cell>
          <cell r="D95">
            <v>24.914999999999999</v>
          </cell>
          <cell r="E95">
            <v>1.514</v>
          </cell>
          <cell r="F95">
            <v>0.8139784946236559</v>
          </cell>
        </row>
        <row r="96">
          <cell r="B96">
            <v>44470.776795138889</v>
          </cell>
          <cell r="C96">
            <v>25.77</v>
          </cell>
          <cell r="D96">
            <v>23.506</v>
          </cell>
          <cell r="E96">
            <v>1.4039999999999999</v>
          </cell>
          <cell r="F96">
            <v>0.75483870967741928</v>
          </cell>
        </row>
        <row r="97">
          <cell r="B97">
            <v>44470.818461689814</v>
          </cell>
          <cell r="C97">
            <v>25.835000000000001</v>
          </cell>
          <cell r="D97">
            <v>25.286999999999999</v>
          </cell>
          <cell r="E97">
            <v>1.4590000000000001</v>
          </cell>
          <cell r="F97">
            <v>0.78440860215053765</v>
          </cell>
        </row>
        <row r="98">
          <cell r="B98">
            <v>44470.86012824074</v>
          </cell>
          <cell r="C98">
            <v>25.602</v>
          </cell>
          <cell r="D98">
            <v>23.568000000000001</v>
          </cell>
          <cell r="E98">
            <v>1.4490000000000001</v>
          </cell>
          <cell r="F98">
            <v>0.77903225806451615</v>
          </cell>
        </row>
        <row r="99">
          <cell r="B99">
            <v>44470.901794791665</v>
          </cell>
          <cell r="C99">
            <v>28.37</v>
          </cell>
          <cell r="D99">
            <v>25.158000000000001</v>
          </cell>
          <cell r="E99">
            <v>1.5409999999999999</v>
          </cell>
          <cell r="F99">
            <v>0.82849462365591386</v>
          </cell>
        </row>
        <row r="100">
          <cell r="B100">
            <v>44470.943461342591</v>
          </cell>
          <cell r="C100">
            <v>35.389000000000003</v>
          </cell>
          <cell r="D100">
            <v>32.124000000000002</v>
          </cell>
          <cell r="E100">
            <v>3.1549999999999998</v>
          </cell>
          <cell r="F100">
            <v>1.6962365591397848</v>
          </cell>
        </row>
        <row r="101">
          <cell r="B101">
            <v>44470.985127893517</v>
          </cell>
          <cell r="C101">
            <v>41.987000000000002</v>
          </cell>
          <cell r="D101">
            <v>33.439</v>
          </cell>
          <cell r="E101">
            <v>3.1379999999999999</v>
          </cell>
          <cell r="F101">
            <v>1.6870967741935483</v>
          </cell>
        </row>
        <row r="102">
          <cell r="B102">
            <v>44471.026794444442</v>
          </cell>
          <cell r="C102">
            <v>44.860999999999997</v>
          </cell>
          <cell r="D102">
            <v>32.728999999999999</v>
          </cell>
          <cell r="E102">
            <v>2.6640000000000001</v>
          </cell>
          <cell r="F102">
            <v>1.4322580645161291</v>
          </cell>
        </row>
        <row r="103">
          <cell r="B103">
            <v>44471.068460995368</v>
          </cell>
          <cell r="C103">
            <v>45.354999999999997</v>
          </cell>
          <cell r="D103">
            <v>34.770000000000003</v>
          </cell>
          <cell r="E103">
            <v>3.5449999999999999</v>
          </cell>
          <cell r="F103">
            <v>1.9059139784946235</v>
          </cell>
        </row>
        <row r="104">
          <cell r="B104">
            <v>44471.110127546293</v>
          </cell>
          <cell r="C104">
            <v>46.378</v>
          </cell>
          <cell r="D104">
            <v>33.640999999999998</v>
          </cell>
          <cell r="E104">
            <v>3.867</v>
          </cell>
          <cell r="F104">
            <v>2.0790322580645162</v>
          </cell>
        </row>
        <row r="105">
          <cell r="B105">
            <v>44471.151794097219</v>
          </cell>
          <cell r="C105">
            <v>41.439</v>
          </cell>
          <cell r="D105">
            <v>34.378999999999998</v>
          </cell>
          <cell r="E105">
            <v>3.0019999999999998</v>
          </cell>
          <cell r="F105">
            <v>1.6139784946236557</v>
          </cell>
        </row>
        <row r="106">
          <cell r="B106">
            <v>44471.193460648145</v>
          </cell>
          <cell r="C106">
            <v>40.100999999999999</v>
          </cell>
          <cell r="D106">
            <v>34.703000000000003</v>
          </cell>
          <cell r="E106">
            <v>3.5150000000000001</v>
          </cell>
          <cell r="F106">
            <v>1.889784946236559</v>
          </cell>
        </row>
        <row r="107">
          <cell r="B107">
            <v>44471.235127199077</v>
          </cell>
          <cell r="C107">
            <v>41.966999999999999</v>
          </cell>
          <cell r="D107">
            <v>34.286999999999999</v>
          </cell>
          <cell r="E107">
            <v>3.714</v>
          </cell>
          <cell r="F107">
            <v>1.9967741935483869</v>
          </cell>
        </row>
        <row r="108">
          <cell r="B108">
            <v>44471.276793750003</v>
          </cell>
          <cell r="C108">
            <v>41.301000000000002</v>
          </cell>
          <cell r="D108">
            <v>35.988999999999997</v>
          </cell>
          <cell r="E108">
            <v>3.2629999999999999</v>
          </cell>
          <cell r="F108">
            <v>1.7543010752688171</v>
          </cell>
        </row>
        <row r="109">
          <cell r="B109">
            <v>44471.318460300929</v>
          </cell>
          <cell r="C109">
            <v>41.618000000000002</v>
          </cell>
          <cell r="D109">
            <v>32.475999999999999</v>
          </cell>
          <cell r="E109">
            <v>2.5070000000000001</v>
          </cell>
          <cell r="F109">
            <v>1.3478494623655914</v>
          </cell>
        </row>
        <row r="110">
          <cell r="B110">
            <v>44471.360126851854</v>
          </cell>
          <cell r="C110">
            <v>38.276000000000003</v>
          </cell>
          <cell r="D110">
            <v>31.053999999999998</v>
          </cell>
          <cell r="E110">
            <v>2.3679999999999999</v>
          </cell>
          <cell r="F110">
            <v>1.2731182795698923</v>
          </cell>
        </row>
        <row r="111">
          <cell r="B111">
            <v>44471.40179340278</v>
          </cell>
          <cell r="C111">
            <v>35.618000000000002</v>
          </cell>
          <cell r="D111">
            <v>31.442</v>
          </cell>
          <cell r="E111">
            <v>2.282</v>
          </cell>
          <cell r="F111">
            <v>1.2268817204301075</v>
          </cell>
        </row>
        <row r="112">
          <cell r="B112">
            <v>44471.443459953705</v>
          </cell>
          <cell r="C112">
            <v>32.277000000000001</v>
          </cell>
          <cell r="D112">
            <v>29.768999999999998</v>
          </cell>
          <cell r="E112">
            <v>2.593</v>
          </cell>
          <cell r="F112">
            <v>1.3940860215053763</v>
          </cell>
        </row>
        <row r="113">
          <cell r="B113">
            <v>44471.485126504631</v>
          </cell>
          <cell r="C113">
            <v>31.577999999999999</v>
          </cell>
          <cell r="D113">
            <v>29.152000000000001</v>
          </cell>
          <cell r="E113">
            <v>1.968</v>
          </cell>
          <cell r="F113">
            <v>1.0580645161290323</v>
          </cell>
        </row>
        <row r="114">
          <cell r="B114">
            <v>44471.526793055556</v>
          </cell>
          <cell r="C114">
            <v>29.600999999999999</v>
          </cell>
          <cell r="D114">
            <v>25.463000000000001</v>
          </cell>
          <cell r="E114">
            <v>1.7090000000000001</v>
          </cell>
          <cell r="F114">
            <v>0.91881720430107527</v>
          </cell>
        </row>
        <row r="115">
          <cell r="B115">
            <v>44471.568459606482</v>
          </cell>
          <cell r="C115">
            <v>29.056000000000001</v>
          </cell>
          <cell r="D115">
            <v>26.137</v>
          </cell>
          <cell r="E115">
            <v>2.3519999999999999</v>
          </cell>
          <cell r="F115">
            <v>1.264516129032258</v>
          </cell>
        </row>
        <row r="116">
          <cell r="B116">
            <v>44471.610126157408</v>
          </cell>
          <cell r="C116">
            <v>26.001000000000001</v>
          </cell>
          <cell r="D116">
            <v>23.393999999999998</v>
          </cell>
          <cell r="E116">
            <v>2.2320000000000002</v>
          </cell>
          <cell r="F116">
            <v>1.2</v>
          </cell>
        </row>
        <row r="117">
          <cell r="B117">
            <v>44471.651792708333</v>
          </cell>
          <cell r="C117">
            <v>26.196000000000002</v>
          </cell>
          <cell r="D117">
            <v>22.818000000000001</v>
          </cell>
          <cell r="E117">
            <v>1.7769999999999999</v>
          </cell>
          <cell r="F117">
            <v>0.95537634408602146</v>
          </cell>
        </row>
        <row r="118">
          <cell r="B118">
            <v>44471.693459259259</v>
          </cell>
          <cell r="C118">
            <v>25.640999999999998</v>
          </cell>
          <cell r="D118">
            <v>22.593</v>
          </cell>
          <cell r="E118">
            <v>1.8260000000000001</v>
          </cell>
          <cell r="F118">
            <v>0.98172043010752685</v>
          </cell>
        </row>
        <row r="119">
          <cell r="B119">
            <v>44471.735125810184</v>
          </cell>
          <cell r="C119">
            <v>25.414000000000001</v>
          </cell>
          <cell r="D119">
            <v>21.381</v>
          </cell>
          <cell r="E119">
            <v>1.4690000000000001</v>
          </cell>
          <cell r="F119">
            <v>0.78978494623655915</v>
          </cell>
        </row>
        <row r="120">
          <cell r="B120">
            <v>44471.77679236111</v>
          </cell>
          <cell r="C120">
            <v>24.036999999999999</v>
          </cell>
          <cell r="D120">
            <v>22.677</v>
          </cell>
          <cell r="E120">
            <v>1.44</v>
          </cell>
          <cell r="F120">
            <v>0.77419354838709675</v>
          </cell>
        </row>
        <row r="121">
          <cell r="B121">
            <v>44471.818458912036</v>
          </cell>
          <cell r="C121">
            <v>23.061</v>
          </cell>
          <cell r="D121">
            <v>20.861000000000001</v>
          </cell>
          <cell r="E121">
            <v>1.391</v>
          </cell>
          <cell r="F121">
            <v>0.74784946236559136</v>
          </cell>
        </row>
        <row r="122">
          <cell r="B122">
            <v>44471.860125462961</v>
          </cell>
          <cell r="C122">
            <v>22.228000000000002</v>
          </cell>
          <cell r="D122">
            <v>22.539000000000001</v>
          </cell>
          <cell r="E122">
            <v>1.411</v>
          </cell>
          <cell r="F122">
            <v>0.75860215053763436</v>
          </cell>
        </row>
        <row r="123">
          <cell r="B123">
            <v>44471.901792013887</v>
          </cell>
          <cell r="C123">
            <v>21.03</v>
          </cell>
          <cell r="D123">
            <v>19.128</v>
          </cell>
          <cell r="E123">
            <v>1.409</v>
          </cell>
          <cell r="F123">
            <v>0.75752688172043003</v>
          </cell>
        </row>
        <row r="124">
          <cell r="B124">
            <v>44471.943458564812</v>
          </cell>
          <cell r="C124">
            <v>20.834</v>
          </cell>
          <cell r="D124">
            <v>20.47</v>
          </cell>
          <cell r="E124">
            <v>1.218</v>
          </cell>
          <cell r="F124">
            <v>0.65483870967741931</v>
          </cell>
        </row>
        <row r="125">
          <cell r="B125">
            <v>44471.985125115738</v>
          </cell>
          <cell r="C125">
            <v>19.128</v>
          </cell>
          <cell r="D125">
            <v>18.216999999999999</v>
          </cell>
          <cell r="E125">
            <v>1.095</v>
          </cell>
          <cell r="F125">
            <v>0.58870967741935476</v>
          </cell>
        </row>
        <row r="126">
          <cell r="B126">
            <v>44472.026791666663</v>
          </cell>
          <cell r="C126">
            <v>20.175999999999998</v>
          </cell>
          <cell r="D126">
            <v>18.170000000000002</v>
          </cell>
          <cell r="E126">
            <v>1.131</v>
          </cell>
          <cell r="F126">
            <v>0.60806451612903223</v>
          </cell>
        </row>
        <row r="127">
          <cell r="B127">
            <v>44472.068458217589</v>
          </cell>
          <cell r="C127">
            <v>19.077000000000002</v>
          </cell>
          <cell r="D127">
            <v>18.312000000000001</v>
          </cell>
          <cell r="E127">
            <v>1.056</v>
          </cell>
          <cell r="F127">
            <v>0.56774193548387097</v>
          </cell>
        </row>
        <row r="128">
          <cell r="B128">
            <v>44472.110124768522</v>
          </cell>
          <cell r="C128">
            <v>17.294</v>
          </cell>
          <cell r="D128">
            <v>17.024000000000001</v>
          </cell>
          <cell r="E128">
            <v>2.4460000000000002</v>
          </cell>
          <cell r="F128">
            <v>1.3150537634408603</v>
          </cell>
        </row>
        <row r="129">
          <cell r="B129">
            <v>44472.151791319448</v>
          </cell>
          <cell r="C129">
            <v>18.448</v>
          </cell>
          <cell r="D129">
            <v>17.943999999999999</v>
          </cell>
          <cell r="E129">
            <v>2.14</v>
          </cell>
          <cell r="F129">
            <v>1.1505376344086022</v>
          </cell>
        </row>
        <row r="130">
          <cell r="B130">
            <v>44472.193457870373</v>
          </cell>
          <cell r="C130">
            <v>18.154</v>
          </cell>
          <cell r="D130">
            <v>17.036000000000001</v>
          </cell>
          <cell r="E130">
            <v>0.97799999999999998</v>
          </cell>
          <cell r="F130">
            <v>0.52580645161290318</v>
          </cell>
        </row>
        <row r="131">
          <cell r="B131">
            <v>44472.235124421299</v>
          </cell>
          <cell r="C131">
            <v>17.638000000000002</v>
          </cell>
          <cell r="D131">
            <v>18.16</v>
          </cell>
          <cell r="E131">
            <v>0.94299999999999995</v>
          </cell>
          <cell r="F131">
            <v>0.50698924731182793</v>
          </cell>
        </row>
        <row r="132">
          <cell r="B132">
            <v>44472.276790972224</v>
          </cell>
          <cell r="C132">
            <v>18.030999999999999</v>
          </cell>
          <cell r="D132">
            <v>19.236999999999998</v>
          </cell>
          <cell r="E132">
            <v>1.0209999999999999</v>
          </cell>
          <cell r="F132">
            <v>0.54892473118279561</v>
          </cell>
        </row>
        <row r="133">
          <cell r="B133">
            <v>44472.31845752315</v>
          </cell>
          <cell r="C133">
            <v>17.751000000000001</v>
          </cell>
          <cell r="D133">
            <v>19.879000000000001</v>
          </cell>
          <cell r="E133">
            <v>1.0109999999999999</v>
          </cell>
          <cell r="F133">
            <v>0.54354838709677411</v>
          </cell>
        </row>
        <row r="134">
          <cell r="B134">
            <v>44472.360124074075</v>
          </cell>
          <cell r="C134">
            <v>18.858000000000001</v>
          </cell>
          <cell r="D134">
            <v>22.155999999999999</v>
          </cell>
          <cell r="E134">
            <v>1.014</v>
          </cell>
          <cell r="F134">
            <v>0.54516129032258065</v>
          </cell>
        </row>
        <row r="135">
          <cell r="B135">
            <v>44472.401790625001</v>
          </cell>
          <cell r="C135">
            <v>18.75</v>
          </cell>
          <cell r="D135">
            <v>19.861000000000001</v>
          </cell>
          <cell r="E135">
            <v>0.94599999999999995</v>
          </cell>
          <cell r="F135">
            <v>0.50860215053763436</v>
          </cell>
        </row>
        <row r="136">
          <cell r="B136">
            <v>44472.443457175927</v>
          </cell>
          <cell r="C136">
            <v>17.63</v>
          </cell>
          <cell r="D136">
            <v>19.477</v>
          </cell>
          <cell r="E136">
            <v>1.897</v>
          </cell>
          <cell r="F136">
            <v>1.0198924731182795</v>
          </cell>
        </row>
        <row r="137">
          <cell r="B137">
            <v>44472.485123726852</v>
          </cell>
          <cell r="C137">
            <v>17.38</v>
          </cell>
          <cell r="D137">
            <v>18.236000000000001</v>
          </cell>
          <cell r="E137">
            <v>1.0169999999999999</v>
          </cell>
          <cell r="F137">
            <v>0.54677419354838697</v>
          </cell>
        </row>
        <row r="138">
          <cell r="B138">
            <v>44472.526790277778</v>
          </cell>
          <cell r="C138">
            <v>16.201000000000001</v>
          </cell>
          <cell r="D138">
            <v>18.056000000000001</v>
          </cell>
          <cell r="E138">
            <v>0.83399999999999996</v>
          </cell>
          <cell r="F138">
            <v>0.44838709677419353</v>
          </cell>
        </row>
        <row r="139">
          <cell r="B139">
            <v>44472.568456828703</v>
          </cell>
          <cell r="C139">
            <v>15.862</v>
          </cell>
          <cell r="D139">
            <v>17.245999999999999</v>
          </cell>
          <cell r="E139">
            <v>0.90300000000000002</v>
          </cell>
          <cell r="F139">
            <v>0.48548387096774193</v>
          </cell>
        </row>
        <row r="140">
          <cell r="B140">
            <v>44472.610123379629</v>
          </cell>
          <cell r="C140">
            <v>14.544</v>
          </cell>
          <cell r="D140">
            <v>15.364000000000001</v>
          </cell>
          <cell r="E140">
            <v>2.3610000000000002</v>
          </cell>
          <cell r="F140">
            <v>1.2693548387096774</v>
          </cell>
        </row>
        <row r="141">
          <cell r="B141">
            <v>44472.651789930555</v>
          </cell>
          <cell r="C141">
            <v>14.081</v>
          </cell>
          <cell r="D141">
            <v>13.836</v>
          </cell>
          <cell r="E141">
            <v>0.78700000000000003</v>
          </cell>
          <cell r="F141">
            <v>0.42311827956989245</v>
          </cell>
        </row>
        <row r="142">
          <cell r="B142">
            <v>44472.69345648148</v>
          </cell>
          <cell r="C142">
            <v>13.474</v>
          </cell>
          <cell r="D142">
            <v>13.183999999999999</v>
          </cell>
          <cell r="E142">
            <v>0.72799999999999998</v>
          </cell>
          <cell r="F142">
            <v>0.39139784946236555</v>
          </cell>
        </row>
        <row r="143">
          <cell r="B143">
            <v>44472.735123032406</v>
          </cell>
          <cell r="C143">
            <v>12.826000000000001</v>
          </cell>
          <cell r="D143">
            <v>12.993</v>
          </cell>
          <cell r="E143">
            <v>0.67200000000000004</v>
          </cell>
          <cell r="F143">
            <v>0.36129032258064514</v>
          </cell>
        </row>
        <row r="144">
          <cell r="B144">
            <v>44472.776789583331</v>
          </cell>
          <cell r="C144">
            <v>13.284000000000001</v>
          </cell>
          <cell r="D144">
            <v>13.43</v>
          </cell>
          <cell r="E144">
            <v>0.63400000000000001</v>
          </cell>
          <cell r="F144">
            <v>0.3408602150537634</v>
          </cell>
        </row>
        <row r="145">
          <cell r="B145">
            <v>44472.818456134257</v>
          </cell>
          <cell r="C145">
            <v>12.8</v>
          </cell>
          <cell r="D145">
            <v>12.355</v>
          </cell>
          <cell r="E145">
            <v>0.64</v>
          </cell>
          <cell r="F145">
            <v>0.34408602150537632</v>
          </cell>
        </row>
        <row r="146">
          <cell r="B146">
            <v>44472.860122685182</v>
          </cell>
          <cell r="C146">
            <v>12.359</v>
          </cell>
          <cell r="D146">
            <v>13.583</v>
          </cell>
          <cell r="E146">
            <v>0.67500000000000004</v>
          </cell>
          <cell r="F146">
            <v>0.36290322580645162</v>
          </cell>
        </row>
        <row r="147">
          <cell r="B147">
            <v>44472.901789236108</v>
          </cell>
          <cell r="C147">
            <v>11.861000000000001</v>
          </cell>
          <cell r="D147">
            <v>12.593999999999999</v>
          </cell>
          <cell r="E147">
            <v>0.70599999999999996</v>
          </cell>
          <cell r="F147">
            <v>0.37956989247311823</v>
          </cell>
        </row>
        <row r="148">
          <cell r="B148">
            <v>44472.943455787034</v>
          </cell>
          <cell r="C148">
            <v>11.590999999999999</v>
          </cell>
          <cell r="D148">
            <v>11.512</v>
          </cell>
          <cell r="E148">
            <v>0.77700000000000002</v>
          </cell>
          <cell r="F148">
            <v>0.41774193548387095</v>
          </cell>
        </row>
        <row r="149">
          <cell r="B149">
            <v>44472.985122337966</v>
          </cell>
          <cell r="C149">
            <v>11.444000000000001</v>
          </cell>
          <cell r="D149">
            <v>11.26</v>
          </cell>
          <cell r="E149">
            <v>0.59099999999999997</v>
          </cell>
          <cell r="F149">
            <v>0.31774193548387092</v>
          </cell>
        </row>
        <row r="150">
          <cell r="B150">
            <v>44473.026788888892</v>
          </cell>
          <cell r="C150">
            <v>10.936</v>
          </cell>
          <cell r="D150">
            <v>10.973000000000001</v>
          </cell>
          <cell r="E150">
            <v>0.56399999999999995</v>
          </cell>
          <cell r="F150">
            <v>0.30322580645161284</v>
          </cell>
        </row>
        <row r="151">
          <cell r="B151">
            <v>44473.068455439818</v>
          </cell>
          <cell r="C151">
            <v>9.6859999999999999</v>
          </cell>
          <cell r="D151">
            <v>10.17</v>
          </cell>
          <cell r="E151">
            <v>0.53500000000000003</v>
          </cell>
          <cell r="F151">
            <v>0.28763440860215056</v>
          </cell>
        </row>
        <row r="152">
          <cell r="B152">
            <v>44473.110121990743</v>
          </cell>
          <cell r="C152">
            <v>9.7929999999999993</v>
          </cell>
          <cell r="D152">
            <v>10.06</v>
          </cell>
          <cell r="E152">
            <v>0.57499999999999996</v>
          </cell>
          <cell r="F152">
            <v>0.30913978494623651</v>
          </cell>
        </row>
        <row r="153">
          <cell r="B153">
            <v>44473.151788541669</v>
          </cell>
          <cell r="C153">
            <v>9.1739999999999995</v>
          </cell>
          <cell r="D153">
            <v>9.2520000000000007</v>
          </cell>
          <cell r="E153">
            <v>0.49299999999999999</v>
          </cell>
          <cell r="F153">
            <v>0.26505376344086018</v>
          </cell>
        </row>
        <row r="154">
          <cell r="B154">
            <v>44473.193455092594</v>
          </cell>
          <cell r="C154">
            <v>9.3260000000000005</v>
          </cell>
          <cell r="D154">
            <v>8.5730000000000004</v>
          </cell>
          <cell r="E154">
            <v>0.52100000000000002</v>
          </cell>
          <cell r="F154">
            <v>0.28010752688172041</v>
          </cell>
        </row>
        <row r="155">
          <cell r="B155">
            <v>44473.23512164352</v>
          </cell>
          <cell r="C155">
            <v>8.52</v>
          </cell>
          <cell r="D155">
            <v>8.8230000000000004</v>
          </cell>
          <cell r="E155">
            <v>0.57299999999999995</v>
          </cell>
          <cell r="F155">
            <v>0.30806451612903224</v>
          </cell>
        </row>
        <row r="156">
          <cell r="B156">
            <v>44473.276788194446</v>
          </cell>
          <cell r="C156">
            <v>8.6080000000000005</v>
          </cell>
          <cell r="D156">
            <v>8.3520000000000003</v>
          </cell>
          <cell r="E156">
            <v>0.55800000000000005</v>
          </cell>
          <cell r="F156">
            <v>0.3</v>
          </cell>
        </row>
        <row r="157">
          <cell r="B157">
            <v>44473.318454745371</v>
          </cell>
          <cell r="C157">
            <v>8.3770000000000007</v>
          </cell>
          <cell r="D157">
            <v>8.7810000000000006</v>
          </cell>
          <cell r="E157">
            <v>0.50900000000000001</v>
          </cell>
          <cell r="F157">
            <v>0.27365591397849459</v>
          </cell>
        </row>
        <row r="158">
          <cell r="B158">
            <v>44473.360121296297</v>
          </cell>
          <cell r="C158">
            <v>8.5350000000000001</v>
          </cell>
          <cell r="D158">
            <v>8.0990000000000002</v>
          </cell>
          <cell r="E158">
            <v>0.55400000000000005</v>
          </cell>
          <cell r="F158">
            <v>0.2978494623655914</v>
          </cell>
        </row>
        <row r="159">
          <cell r="B159">
            <v>44473.401787847222</v>
          </cell>
          <cell r="C159">
            <v>8.06</v>
          </cell>
          <cell r="D159">
            <v>7.915</v>
          </cell>
          <cell r="E159">
            <v>0.63300000000000001</v>
          </cell>
          <cell r="F159">
            <v>0.3403225806451613</v>
          </cell>
        </row>
        <row r="160">
          <cell r="B160">
            <v>44473.443454398148</v>
          </cell>
          <cell r="C160">
            <v>8.0869999999999997</v>
          </cell>
          <cell r="D160">
            <v>8.5519999999999996</v>
          </cell>
          <cell r="E160">
            <v>0.54300000000000004</v>
          </cell>
          <cell r="F160">
            <v>0.29193548387096774</v>
          </cell>
        </row>
        <row r="161">
          <cell r="B161">
            <v>44473.485120949073</v>
          </cell>
          <cell r="C161">
            <v>7.6219999999999999</v>
          </cell>
          <cell r="D161">
            <v>7.7949999999999999</v>
          </cell>
          <cell r="E161">
            <v>1.3280000000000001</v>
          </cell>
          <cell r="F161">
            <v>0.71397849462365592</v>
          </cell>
        </row>
        <row r="162">
          <cell r="B162">
            <v>44473.526787499999</v>
          </cell>
          <cell r="C162">
            <v>6.8869999999999996</v>
          </cell>
          <cell r="D162">
            <v>6.7210000000000001</v>
          </cell>
          <cell r="E162">
            <v>0.52</v>
          </cell>
          <cell r="F162">
            <v>0.27956989247311825</v>
          </cell>
        </row>
        <row r="163">
          <cell r="B163">
            <v>44473.568454050925</v>
          </cell>
          <cell r="C163">
            <v>6.9729999999999999</v>
          </cell>
          <cell r="D163">
            <v>6.742</v>
          </cell>
          <cell r="E163">
            <v>0.53200000000000003</v>
          </cell>
          <cell r="F163">
            <v>0.28602150537634408</v>
          </cell>
        </row>
        <row r="164">
          <cell r="B164">
            <v>44473.61012060185</v>
          </cell>
          <cell r="C164">
            <v>6.2370000000000001</v>
          </cell>
          <cell r="D164">
            <v>6.2089999999999996</v>
          </cell>
          <cell r="E164">
            <v>0.52500000000000002</v>
          </cell>
          <cell r="F164">
            <v>0.282258064516129</v>
          </cell>
        </row>
        <row r="165">
          <cell r="B165">
            <v>44473.651787152776</v>
          </cell>
          <cell r="C165">
            <v>6.32</v>
          </cell>
          <cell r="D165">
            <v>5.907</v>
          </cell>
          <cell r="E165">
            <v>0.54500000000000004</v>
          </cell>
          <cell r="F165">
            <v>0.29301075268817206</v>
          </cell>
        </row>
        <row r="166">
          <cell r="B166">
            <v>44473.693453703701</v>
          </cell>
          <cell r="C166">
            <v>5.91</v>
          </cell>
          <cell r="D166">
            <v>5.9710000000000001</v>
          </cell>
          <cell r="E166">
            <v>0.51600000000000001</v>
          </cell>
          <cell r="F166">
            <v>0.27741935483870966</v>
          </cell>
        </row>
        <row r="167">
          <cell r="B167">
            <v>44473.735120254627</v>
          </cell>
          <cell r="C167">
            <v>8.1180000000000003</v>
          </cell>
          <cell r="D167">
            <v>7.2640000000000002</v>
          </cell>
          <cell r="E167">
            <v>0.85</v>
          </cell>
          <cell r="F167">
            <v>0.45698924731182794</v>
          </cell>
        </row>
        <row r="168">
          <cell r="B168">
            <v>44473.776786805553</v>
          </cell>
          <cell r="C168">
            <v>8.4090000000000007</v>
          </cell>
          <cell r="D168">
            <v>7.8029999999999999</v>
          </cell>
          <cell r="E168">
            <v>1.0569999999999999</v>
          </cell>
          <cell r="F168">
            <v>0.56827956989247308</v>
          </cell>
        </row>
        <row r="169">
          <cell r="B169">
            <v>44473.818453356478</v>
          </cell>
          <cell r="C169">
            <v>12.766</v>
          </cell>
          <cell r="D169">
            <v>12.54</v>
          </cell>
          <cell r="E169">
            <v>0.998</v>
          </cell>
          <cell r="F169">
            <v>0.53655913978494618</v>
          </cell>
        </row>
        <row r="170">
          <cell r="B170">
            <v>44473.860119907411</v>
          </cell>
          <cell r="C170">
            <v>15.68</v>
          </cell>
          <cell r="D170">
            <v>17.32</v>
          </cell>
          <cell r="E170">
            <v>1.0629999999999999</v>
          </cell>
          <cell r="F170">
            <v>0.57150537634408594</v>
          </cell>
        </row>
        <row r="171">
          <cell r="B171">
            <v>44473.901786458337</v>
          </cell>
          <cell r="C171">
            <v>13.882999999999999</v>
          </cell>
          <cell r="D171">
            <v>15.208</v>
          </cell>
          <cell r="E171">
            <v>0.95499999999999996</v>
          </cell>
          <cell r="F171">
            <v>0.51344086021505375</v>
          </cell>
        </row>
        <row r="172">
          <cell r="B172">
            <v>44473.943453009262</v>
          </cell>
          <cell r="C172">
            <v>12.725</v>
          </cell>
          <cell r="D172">
            <v>13.189</v>
          </cell>
          <cell r="E172">
            <v>1.022</v>
          </cell>
          <cell r="F172">
            <v>0.54946236559139783</v>
          </cell>
        </row>
        <row r="173">
          <cell r="B173">
            <v>44473.985119560188</v>
          </cell>
          <cell r="C173">
            <v>13.029</v>
          </cell>
          <cell r="D173">
            <v>14.538</v>
          </cell>
          <cell r="E173">
            <v>1.8420000000000001</v>
          </cell>
          <cell r="F173">
            <v>0.99032258064516132</v>
          </cell>
        </row>
        <row r="174">
          <cell r="B174">
            <v>44474.026786111113</v>
          </cell>
          <cell r="C174">
            <v>12.254</v>
          </cell>
          <cell r="D174">
            <v>12.705</v>
          </cell>
          <cell r="E174">
            <v>1.0669999999999999</v>
          </cell>
          <cell r="F174">
            <v>0.57365591397849458</v>
          </cell>
        </row>
        <row r="175">
          <cell r="B175">
            <v>44474.068452662039</v>
          </cell>
          <cell r="C175">
            <v>13.36</v>
          </cell>
          <cell r="D175">
            <v>15.154</v>
          </cell>
          <cell r="E175">
            <v>0.94399999999999995</v>
          </cell>
          <cell r="F175">
            <v>0.50752688172043003</v>
          </cell>
        </row>
        <row r="176">
          <cell r="B176">
            <v>44474.110119212964</v>
          </cell>
          <cell r="C176">
            <v>11.702</v>
          </cell>
          <cell r="D176">
            <v>13.785</v>
          </cell>
          <cell r="E176">
            <v>1.0509999999999999</v>
          </cell>
          <cell r="F176">
            <v>0.56505376344086011</v>
          </cell>
        </row>
        <row r="177">
          <cell r="B177">
            <v>44474.15178576389</v>
          </cell>
          <cell r="C177">
            <v>11.393000000000001</v>
          </cell>
          <cell r="D177">
            <v>13.032</v>
          </cell>
          <cell r="E177">
            <v>1.0429999999999999</v>
          </cell>
          <cell r="F177">
            <v>0.56075268817204293</v>
          </cell>
        </row>
        <row r="178">
          <cell r="B178">
            <v>44474.193452314816</v>
          </cell>
          <cell r="C178">
            <v>11.659000000000001</v>
          </cell>
          <cell r="D178">
            <v>12.701000000000001</v>
          </cell>
          <cell r="E178">
            <v>2.516</v>
          </cell>
          <cell r="F178">
            <v>1.3526881720430106</v>
          </cell>
        </row>
        <row r="179">
          <cell r="B179">
            <v>44474.235118865741</v>
          </cell>
          <cell r="C179">
            <v>14.401999999999999</v>
          </cell>
          <cell r="D179">
            <v>13.638999999999999</v>
          </cell>
          <cell r="E179">
            <v>2.6819999999999999</v>
          </cell>
          <cell r="F179">
            <v>1.4419354838709677</v>
          </cell>
        </row>
        <row r="180">
          <cell r="B180">
            <v>44474.276785416667</v>
          </cell>
          <cell r="C180">
            <v>21.786999999999999</v>
          </cell>
          <cell r="D180">
            <v>20.193000000000001</v>
          </cell>
          <cell r="E180">
            <v>1.409</v>
          </cell>
          <cell r="F180">
            <v>0.75752688172043003</v>
          </cell>
        </row>
        <row r="181">
          <cell r="B181">
            <v>44474.318451967592</v>
          </cell>
          <cell r="C181">
            <v>34.927</v>
          </cell>
          <cell r="D181">
            <v>35.390999999999998</v>
          </cell>
          <cell r="E181">
            <v>1.548</v>
          </cell>
          <cell r="F181">
            <v>0.83225806451612905</v>
          </cell>
        </row>
        <row r="182">
          <cell r="B182">
            <v>44474.360118518518</v>
          </cell>
          <cell r="C182">
            <v>38.905000000000001</v>
          </cell>
          <cell r="D182">
            <v>41.069000000000003</v>
          </cell>
          <cell r="E182">
            <v>2.948</v>
          </cell>
          <cell r="F182">
            <v>1.5849462365591396</v>
          </cell>
        </row>
        <row r="183">
          <cell r="B183">
            <v>44474.401785069444</v>
          </cell>
          <cell r="C183">
            <v>41.793999999999997</v>
          </cell>
          <cell r="D183">
            <v>43.734999999999999</v>
          </cell>
          <cell r="E183">
            <v>2.1240000000000001</v>
          </cell>
          <cell r="F183">
            <v>1.1419354838709677</v>
          </cell>
        </row>
        <row r="184">
          <cell r="B184">
            <v>44474.443451620369</v>
          </cell>
          <cell r="C184">
            <v>39.398000000000003</v>
          </cell>
          <cell r="D184">
            <v>41.488999999999997</v>
          </cell>
          <cell r="E184">
            <v>2.8330000000000002</v>
          </cell>
          <cell r="F184">
            <v>1.5231182795698925</v>
          </cell>
        </row>
        <row r="185">
          <cell r="B185">
            <v>44474.485118171295</v>
          </cell>
          <cell r="C185">
            <v>39.850999999999999</v>
          </cell>
          <cell r="D185">
            <v>43.518000000000001</v>
          </cell>
          <cell r="E185">
            <v>3.070999999999998</v>
          </cell>
          <cell r="F185">
            <v>1.651075268817203</v>
          </cell>
        </row>
        <row r="186">
          <cell r="B186">
            <v>44474.52678472222</v>
          </cell>
          <cell r="C186">
            <v>40.796999999999997</v>
          </cell>
          <cell r="D186">
            <v>46.529000000000003</v>
          </cell>
          <cell r="E186">
            <v>3.3490000000000002</v>
          </cell>
          <cell r="F186">
            <v>1.8005376344086022</v>
          </cell>
        </row>
        <row r="187">
          <cell r="B187">
            <v>44474.568451273146</v>
          </cell>
          <cell r="C187">
            <v>41.701000000000001</v>
          </cell>
          <cell r="D187">
            <v>46.534999999999997</v>
          </cell>
          <cell r="E187">
            <v>3.159399999999998</v>
          </cell>
          <cell r="F187">
            <v>1.6986021505376332</v>
          </cell>
        </row>
        <row r="188">
          <cell r="B188">
            <v>44474.610117824071</v>
          </cell>
          <cell r="C188">
            <v>39.713999999999999</v>
          </cell>
          <cell r="D188">
            <v>45.908999999999999</v>
          </cell>
          <cell r="E188">
            <v>2.7396999999999991</v>
          </cell>
          <cell r="F188">
            <v>1.4729569892473113</v>
          </cell>
        </row>
        <row r="189">
          <cell r="B189">
            <v>44474.651784374997</v>
          </cell>
          <cell r="C189">
            <v>42.218000000000004</v>
          </cell>
          <cell r="D189">
            <v>48.726999999999997</v>
          </cell>
          <cell r="E189">
            <v>3.1469999999999998</v>
          </cell>
          <cell r="F189">
            <v>1.6919354838709675</v>
          </cell>
        </row>
        <row r="190">
          <cell r="B190">
            <v>44474.693450925923</v>
          </cell>
          <cell r="C190">
            <v>43.74</v>
          </cell>
          <cell r="D190">
            <v>50.335999999999999</v>
          </cell>
          <cell r="E190">
            <v>2.121</v>
          </cell>
          <cell r="F190">
            <v>1.1403225806451611</v>
          </cell>
        </row>
        <row r="191">
          <cell r="B191">
            <v>44474.735117476848</v>
          </cell>
          <cell r="C191">
            <v>42.927999999999997</v>
          </cell>
          <cell r="D191">
            <v>50.72</v>
          </cell>
          <cell r="E191">
            <v>2.2789999999999999</v>
          </cell>
          <cell r="F191">
            <v>1.2252688172043009</v>
          </cell>
        </row>
        <row r="192">
          <cell r="B192">
            <v>44474.776784027781</v>
          </cell>
          <cell r="C192">
            <v>40.246000000000002</v>
          </cell>
          <cell r="D192">
            <v>48.65</v>
          </cell>
          <cell r="E192">
            <v>2.0539999999999998</v>
          </cell>
          <cell r="F192">
            <v>1.1043010752688172</v>
          </cell>
        </row>
        <row r="193">
          <cell r="B193">
            <v>44474.818450578707</v>
          </cell>
          <cell r="C193">
            <v>37.228999999999999</v>
          </cell>
          <cell r="D193">
            <v>43.84</v>
          </cell>
          <cell r="E193">
            <v>2.2050000000000001</v>
          </cell>
          <cell r="F193">
            <v>1.185483870967742</v>
          </cell>
        </row>
        <row r="194">
          <cell r="B194">
            <v>44474.860117129632</v>
          </cell>
          <cell r="C194">
            <v>37.168999999999997</v>
          </cell>
          <cell r="D194">
            <v>42.497</v>
          </cell>
          <cell r="E194">
            <v>3.1814999999999998</v>
          </cell>
          <cell r="F194">
            <v>1.7104838709677417</v>
          </cell>
        </row>
        <row r="195">
          <cell r="B195">
            <v>44474.901783680558</v>
          </cell>
          <cell r="C195">
            <v>37.616999999999997</v>
          </cell>
          <cell r="D195">
            <v>41.445</v>
          </cell>
          <cell r="E195">
            <v>2.6949999999999998</v>
          </cell>
          <cell r="F195">
            <v>1.4489247311827955</v>
          </cell>
        </row>
        <row r="196">
          <cell r="B196">
            <v>44474.943450231483</v>
          </cell>
          <cell r="C196">
            <v>34.823999999999998</v>
          </cell>
          <cell r="D196">
            <v>41.155000000000001</v>
          </cell>
          <cell r="E196">
            <v>2.3460000000000001</v>
          </cell>
          <cell r="F196">
            <v>1.2612903225806451</v>
          </cell>
        </row>
        <row r="197">
          <cell r="B197">
            <v>44474.985116782409</v>
          </cell>
          <cell r="C197">
            <v>33.512</v>
          </cell>
          <cell r="D197">
            <v>38.338999999999999</v>
          </cell>
          <cell r="E197">
            <v>2.2530000000000001</v>
          </cell>
          <cell r="F197">
            <v>1.2112903225806451</v>
          </cell>
        </row>
        <row r="198">
          <cell r="B198">
            <v>44475.026783333335</v>
          </cell>
          <cell r="C198">
            <v>32.045000000000002</v>
          </cell>
          <cell r="D198">
            <v>37.853999999999999</v>
          </cell>
          <cell r="E198">
            <v>1.99</v>
          </cell>
          <cell r="F198">
            <v>1.0698924731182795</v>
          </cell>
        </row>
        <row r="199">
          <cell r="B199">
            <v>44475.06844988426</v>
          </cell>
          <cell r="C199">
            <v>32.545999999999999</v>
          </cell>
          <cell r="D199">
            <v>37.271999999999998</v>
          </cell>
          <cell r="E199">
            <v>2.4180000000000001</v>
          </cell>
          <cell r="F199">
            <v>1.3</v>
          </cell>
        </row>
        <row r="200">
          <cell r="B200">
            <v>44475.110116435186</v>
          </cell>
          <cell r="C200">
            <v>36.15</v>
          </cell>
          <cell r="D200">
            <v>41.686</v>
          </cell>
          <cell r="E200">
            <v>3.0510000000000002</v>
          </cell>
          <cell r="F200">
            <v>1.6403225806451613</v>
          </cell>
        </row>
        <row r="201">
          <cell r="B201">
            <v>44475.151782986111</v>
          </cell>
          <cell r="C201">
            <v>39.165999999999997</v>
          </cell>
          <cell r="D201">
            <v>47.779000000000003</v>
          </cell>
          <cell r="E201">
            <v>2.1970000000000001</v>
          </cell>
          <cell r="F201">
            <v>1.1811827956989247</v>
          </cell>
        </row>
        <row r="202">
          <cell r="B202">
            <v>44475.193449537037</v>
          </cell>
          <cell r="C202">
            <v>40.054000000000002</v>
          </cell>
          <cell r="D202">
            <v>47.252000000000002</v>
          </cell>
          <cell r="E202">
            <v>2.2250000000000001</v>
          </cell>
          <cell r="F202">
            <v>1.196236559139785</v>
          </cell>
        </row>
        <row r="203">
          <cell r="B203">
            <v>44475.235116087963</v>
          </cell>
          <cell r="C203">
            <v>39.399000000000001</v>
          </cell>
          <cell r="D203">
            <v>47.826000000000001</v>
          </cell>
          <cell r="E203">
            <v>2.2559999999999998</v>
          </cell>
          <cell r="F203">
            <v>1.2129032258064514</v>
          </cell>
        </row>
        <row r="204">
          <cell r="B204">
            <v>44475.276782638888</v>
          </cell>
          <cell r="C204">
            <v>35.884</v>
          </cell>
          <cell r="D204">
            <v>44.866</v>
          </cell>
          <cell r="E204">
            <v>1.8979999999999999</v>
          </cell>
          <cell r="F204">
            <v>1.0204301075268816</v>
          </cell>
        </row>
        <row r="205">
          <cell r="B205">
            <v>44475.318449189814</v>
          </cell>
          <cell r="C205">
            <v>38.783000000000001</v>
          </cell>
          <cell r="D205">
            <v>51.125</v>
          </cell>
          <cell r="E205">
            <v>2.524</v>
          </cell>
          <cell r="F205">
            <v>1.3569892473118279</v>
          </cell>
        </row>
        <row r="206">
          <cell r="B206">
            <v>44475.360115740739</v>
          </cell>
          <cell r="C206">
            <v>37.405999999999999</v>
          </cell>
          <cell r="D206">
            <v>46.588999999999999</v>
          </cell>
          <cell r="E206">
            <v>2.3159999999999998</v>
          </cell>
          <cell r="F206">
            <v>1.2451612903225804</v>
          </cell>
        </row>
        <row r="207">
          <cell r="B207">
            <v>44475.401782291665</v>
          </cell>
          <cell r="C207">
            <v>34.414000000000001</v>
          </cell>
          <cell r="D207">
            <v>41.064</v>
          </cell>
          <cell r="E207">
            <v>2.2759999999999998</v>
          </cell>
          <cell r="F207">
            <v>1.2236559139784944</v>
          </cell>
        </row>
        <row r="208">
          <cell r="B208">
            <v>44475.44344884259</v>
          </cell>
          <cell r="C208">
            <v>34.781999999999996</v>
          </cell>
          <cell r="D208">
            <v>42.485999999999997</v>
          </cell>
          <cell r="E208">
            <v>2.964</v>
          </cell>
          <cell r="F208">
            <v>1.5935483870967742</v>
          </cell>
        </row>
        <row r="209">
          <cell r="B209">
            <v>44475.485115393516</v>
          </cell>
          <cell r="C209">
            <v>32.975999999999999</v>
          </cell>
          <cell r="D209">
            <v>40.747999999999998</v>
          </cell>
          <cell r="E209">
            <v>2.194</v>
          </cell>
          <cell r="F209">
            <v>1.1795698924731182</v>
          </cell>
        </row>
        <row r="210">
          <cell r="B210">
            <v>44475.526781944442</v>
          </cell>
          <cell r="C210">
            <v>31.760999999999999</v>
          </cell>
          <cell r="D210">
            <v>37.478000000000002</v>
          </cell>
          <cell r="E210">
            <v>1.954</v>
          </cell>
          <cell r="F210">
            <v>1.0505376344086022</v>
          </cell>
        </row>
        <row r="211">
          <cell r="B211">
            <v>44475.568448495367</v>
          </cell>
          <cell r="C211">
            <v>31.640999999999998</v>
          </cell>
          <cell r="D211">
            <v>40.128</v>
          </cell>
          <cell r="E211">
            <v>2.6160000000000001</v>
          </cell>
          <cell r="F211">
            <v>1.4064516129032258</v>
          </cell>
        </row>
        <row r="212">
          <cell r="B212">
            <v>44475.610115046293</v>
          </cell>
          <cell r="C212">
            <v>31.963000000000001</v>
          </cell>
          <cell r="D212">
            <v>39.53</v>
          </cell>
          <cell r="E212">
            <v>1.869</v>
          </cell>
          <cell r="F212">
            <v>1.0048387096774194</v>
          </cell>
        </row>
        <row r="213">
          <cell r="B213">
            <v>44475.651781597226</v>
          </cell>
          <cell r="C213">
            <v>31.530999999999999</v>
          </cell>
          <cell r="D213">
            <v>37.893999999999998</v>
          </cell>
          <cell r="E213">
            <v>1.897</v>
          </cell>
          <cell r="F213">
            <v>1.0198924731182795</v>
          </cell>
        </row>
        <row r="214">
          <cell r="B214">
            <v>44475.693448148151</v>
          </cell>
          <cell r="C214">
            <v>29.343</v>
          </cell>
          <cell r="D214">
            <v>35.484000000000002</v>
          </cell>
          <cell r="E214">
            <v>1.841</v>
          </cell>
          <cell r="F214">
            <v>0.9897849462365591</v>
          </cell>
        </row>
        <row r="215">
          <cell r="B215">
            <v>44475.735114699077</v>
          </cell>
          <cell r="C215">
            <v>29.225000000000001</v>
          </cell>
          <cell r="D215">
            <v>35.603999999999999</v>
          </cell>
          <cell r="E215">
            <v>1.6479999999999999</v>
          </cell>
          <cell r="F215">
            <v>0.88602150537634394</v>
          </cell>
        </row>
        <row r="216">
          <cell r="B216">
            <v>44475.776781250002</v>
          </cell>
          <cell r="C216">
            <v>27.92</v>
          </cell>
          <cell r="D216">
            <v>34.354999999999997</v>
          </cell>
          <cell r="E216">
            <v>1.5840000000000001</v>
          </cell>
          <cell r="F216">
            <v>0.85161290322580641</v>
          </cell>
        </row>
        <row r="217">
          <cell r="B217">
            <v>44475.818447800928</v>
          </cell>
          <cell r="C217">
            <v>25.997</v>
          </cell>
          <cell r="D217">
            <v>34.247</v>
          </cell>
          <cell r="E217">
            <v>1.5629999999999999</v>
          </cell>
          <cell r="F217">
            <v>0.84032258064516119</v>
          </cell>
        </row>
        <row r="218">
          <cell r="B218">
            <v>44475.860114351854</v>
          </cell>
          <cell r="C218">
            <v>25.904</v>
          </cell>
          <cell r="D218">
            <v>30.308</v>
          </cell>
          <cell r="E218">
            <v>1.7669999999999999</v>
          </cell>
          <cell r="F218">
            <v>0.94999999999999984</v>
          </cell>
        </row>
        <row r="219">
          <cell r="B219">
            <v>44475.901780902779</v>
          </cell>
          <cell r="C219">
            <v>24.963000000000001</v>
          </cell>
          <cell r="D219">
            <v>30.158999999999999</v>
          </cell>
          <cell r="E219">
            <v>1.897</v>
          </cell>
          <cell r="F219">
            <v>1.0198924731182795</v>
          </cell>
        </row>
        <row r="220">
          <cell r="B220">
            <v>44475.943447453705</v>
          </cell>
          <cell r="C220">
            <v>25.312000000000001</v>
          </cell>
          <cell r="D220">
            <v>29.648</v>
          </cell>
          <cell r="E220">
            <v>2.4569999999999999</v>
          </cell>
          <cell r="F220">
            <v>1.3209677419354837</v>
          </cell>
        </row>
        <row r="221">
          <cell r="B221">
            <v>44475.98511400463</v>
          </cell>
          <cell r="C221">
            <v>27.036999999999999</v>
          </cell>
          <cell r="D221">
            <v>29.536999999999999</v>
          </cell>
          <cell r="E221">
            <v>1.587</v>
          </cell>
          <cell r="F221">
            <v>0.85322580645161283</v>
          </cell>
        </row>
        <row r="222">
          <cell r="B222">
            <v>44476.026780555556</v>
          </cell>
          <cell r="C222">
            <v>26.460999999999999</v>
          </cell>
          <cell r="D222">
            <v>31.17</v>
          </cell>
          <cell r="E222">
            <v>1.5229999999999999</v>
          </cell>
          <cell r="F222">
            <v>0.81881720430107519</v>
          </cell>
        </row>
        <row r="223">
          <cell r="B223">
            <v>44476.068447106481</v>
          </cell>
          <cell r="C223">
            <v>28.448</v>
          </cell>
          <cell r="D223">
            <v>30.99</v>
          </cell>
          <cell r="E223">
            <v>3.238</v>
          </cell>
          <cell r="F223">
            <v>1.7408602150537633</v>
          </cell>
        </row>
        <row r="224">
          <cell r="B224">
            <v>44476.110113657407</v>
          </cell>
          <cell r="C224">
            <v>28.905000000000001</v>
          </cell>
          <cell r="D224">
            <v>33.673000000000002</v>
          </cell>
          <cell r="E224">
            <v>1.772</v>
          </cell>
          <cell r="F224">
            <v>0.95268817204301071</v>
          </cell>
        </row>
        <row r="225">
          <cell r="B225">
            <v>44476.151780208333</v>
          </cell>
          <cell r="C225">
            <v>30.577000000000002</v>
          </cell>
          <cell r="D225">
            <v>35.185000000000002</v>
          </cell>
          <cell r="E225">
            <v>1.845</v>
          </cell>
          <cell r="F225">
            <v>0.99193548387096764</v>
          </cell>
        </row>
        <row r="226">
          <cell r="B226">
            <v>44476.193446759258</v>
          </cell>
          <cell r="C226">
            <v>32.536999999999999</v>
          </cell>
          <cell r="D226">
            <v>38.094000000000001</v>
          </cell>
          <cell r="E226">
            <v>1.734</v>
          </cell>
          <cell r="F226">
            <v>0.93225806451612903</v>
          </cell>
        </row>
        <row r="227">
          <cell r="B227">
            <v>44476.235113310184</v>
          </cell>
          <cell r="C227">
            <v>40.51</v>
          </cell>
          <cell r="D227">
            <v>45.308999999999997</v>
          </cell>
          <cell r="E227">
            <v>1.968</v>
          </cell>
          <cell r="F227">
            <v>1.0580645161290323</v>
          </cell>
        </row>
        <row r="228">
          <cell r="B228">
            <v>44476.276779861109</v>
          </cell>
          <cell r="C228">
            <v>40.155999999999999</v>
          </cell>
          <cell r="D228">
            <v>47.890999999999998</v>
          </cell>
          <cell r="E228">
            <v>3.7160000000000002</v>
          </cell>
          <cell r="F228">
            <v>1.9978494623655914</v>
          </cell>
        </row>
        <row r="229">
          <cell r="B229">
            <v>44476.318446412035</v>
          </cell>
          <cell r="C229">
            <v>38.023000000000003</v>
          </cell>
          <cell r="D229">
            <v>46.348999999999997</v>
          </cell>
          <cell r="E229">
            <v>2.5649999999999999</v>
          </cell>
          <cell r="F229">
            <v>1.379032258064516</v>
          </cell>
        </row>
        <row r="230">
          <cell r="B230">
            <v>44476.360112962961</v>
          </cell>
          <cell r="C230">
            <v>37.828000000000003</v>
          </cell>
          <cell r="D230">
            <v>47.981000000000002</v>
          </cell>
          <cell r="E230">
            <v>2.9385999999999974</v>
          </cell>
          <cell r="F230">
            <v>1.5798924731182782</v>
          </cell>
        </row>
        <row r="231">
          <cell r="B231">
            <v>44476.401779513886</v>
          </cell>
          <cell r="C231">
            <v>36.642000000000003</v>
          </cell>
          <cell r="D231">
            <v>46.91</v>
          </cell>
          <cell r="E231">
            <v>2.3540000000000001</v>
          </cell>
          <cell r="F231">
            <v>1.2655913978494624</v>
          </cell>
        </row>
        <row r="232">
          <cell r="B232">
            <v>44476.443446064812</v>
          </cell>
          <cell r="C232">
            <v>35.917999999999999</v>
          </cell>
          <cell r="D232">
            <v>44.122</v>
          </cell>
          <cell r="E232">
            <v>3.6012999999999984</v>
          </cell>
          <cell r="F232">
            <v>1.9361827956989237</v>
          </cell>
        </row>
        <row r="233">
          <cell r="B233">
            <v>44476.485112615737</v>
          </cell>
          <cell r="C233">
            <v>37.445999999999998</v>
          </cell>
          <cell r="D233">
            <v>44.451999999999998</v>
          </cell>
          <cell r="E233">
            <v>3.4024999999999999</v>
          </cell>
          <cell r="F233">
            <v>1.829301075268817</v>
          </cell>
        </row>
        <row r="234">
          <cell r="B234">
            <v>44476.52677916667</v>
          </cell>
          <cell r="C234">
            <v>37.334000000000003</v>
          </cell>
          <cell r="D234">
            <v>43.954999999999998</v>
          </cell>
          <cell r="E234">
            <v>3.2256999999999998</v>
          </cell>
          <cell r="F234">
            <v>1.7342473118279569</v>
          </cell>
        </row>
        <row r="235">
          <cell r="B235">
            <v>44476.568445717596</v>
          </cell>
          <cell r="C235">
            <v>35.939</v>
          </cell>
          <cell r="D235">
            <v>42.168999999999997</v>
          </cell>
          <cell r="E235">
            <v>3.4024999999999999</v>
          </cell>
          <cell r="F235">
            <v>1.829301075268817</v>
          </cell>
        </row>
        <row r="236">
          <cell r="B236">
            <v>44476.610112268521</v>
          </cell>
          <cell r="C236">
            <v>34.716000000000001</v>
          </cell>
          <cell r="D236">
            <v>42.936999999999998</v>
          </cell>
          <cell r="E236">
            <v>3.4908000000000001</v>
          </cell>
          <cell r="F236">
            <v>1.876774193548387</v>
          </cell>
        </row>
        <row r="237">
          <cell r="B237">
            <v>44476.651778819447</v>
          </cell>
          <cell r="C237">
            <v>36.158999999999999</v>
          </cell>
          <cell r="D237">
            <v>43.384</v>
          </cell>
          <cell r="E237">
            <v>2.8940000000000001</v>
          </cell>
          <cell r="F237">
            <v>1.5559139784946237</v>
          </cell>
        </row>
        <row r="238">
          <cell r="B238">
            <v>44476.693445370373</v>
          </cell>
          <cell r="C238">
            <v>40.223999999999997</v>
          </cell>
          <cell r="D238">
            <v>47.847999999999999</v>
          </cell>
          <cell r="E238">
            <v>2.8639999999999999</v>
          </cell>
          <cell r="F238">
            <v>1.5397849462365589</v>
          </cell>
        </row>
        <row r="239">
          <cell r="B239">
            <v>44476.735111921298</v>
          </cell>
          <cell r="C239">
            <v>39.771999999999998</v>
          </cell>
          <cell r="D239">
            <v>48.619</v>
          </cell>
          <cell r="E239">
            <v>3.5870000000000002</v>
          </cell>
          <cell r="F239">
            <v>1.928494623655914</v>
          </cell>
        </row>
        <row r="240">
          <cell r="B240">
            <v>44476.776778472224</v>
          </cell>
          <cell r="C240">
            <v>37.662999999999997</v>
          </cell>
          <cell r="D240">
            <v>45.194000000000003</v>
          </cell>
          <cell r="E240">
            <v>2.23</v>
          </cell>
          <cell r="F240">
            <v>1.1989247311827955</v>
          </cell>
        </row>
        <row r="241">
          <cell r="B241">
            <v>44476.818445023149</v>
          </cell>
          <cell r="C241">
            <v>35.216000000000001</v>
          </cell>
          <cell r="D241">
            <v>43.164000000000001</v>
          </cell>
          <cell r="E241">
            <v>2.5640000000000001</v>
          </cell>
          <cell r="F241">
            <v>1.3784946236559139</v>
          </cell>
        </row>
        <row r="242">
          <cell r="B242">
            <v>44476.860111574075</v>
          </cell>
          <cell r="C242">
            <v>36.052</v>
          </cell>
          <cell r="D242">
            <v>44.005000000000003</v>
          </cell>
          <cell r="E242">
            <v>2.3359999999999999</v>
          </cell>
          <cell r="F242">
            <v>1.2559139784946236</v>
          </cell>
        </row>
        <row r="243">
          <cell r="B243">
            <v>44476.901778125</v>
          </cell>
          <cell r="C243">
            <v>33.08</v>
          </cell>
          <cell r="D243">
            <v>39.171999999999997</v>
          </cell>
          <cell r="E243">
            <v>1.9570000000000001</v>
          </cell>
          <cell r="F243">
            <v>1.0521505376344087</v>
          </cell>
        </row>
        <row r="244">
          <cell r="B244">
            <v>44476.943444675926</v>
          </cell>
          <cell r="C244">
            <v>31.646999999999998</v>
          </cell>
          <cell r="D244">
            <v>37.048999999999999</v>
          </cell>
          <cell r="E244">
            <v>2.9605999999999995</v>
          </cell>
          <cell r="F244">
            <v>1.5917204301075265</v>
          </cell>
        </row>
        <row r="245">
          <cell r="B245">
            <v>44476.985111226852</v>
          </cell>
          <cell r="C245">
            <v>30.832000000000001</v>
          </cell>
          <cell r="D245">
            <v>36.213000000000001</v>
          </cell>
          <cell r="E245">
            <v>2.2890000000000001</v>
          </cell>
          <cell r="F245">
            <v>1.2306451612903226</v>
          </cell>
        </row>
        <row r="246">
          <cell r="B246">
            <v>44477.026777777777</v>
          </cell>
          <cell r="C246">
            <v>30.077999999999999</v>
          </cell>
          <cell r="D246">
            <v>35.341000000000001</v>
          </cell>
          <cell r="E246">
            <v>1.8220000000000001</v>
          </cell>
          <cell r="F246">
            <v>0.97956989247311821</v>
          </cell>
        </row>
        <row r="247">
          <cell r="B247">
            <v>44477.068444328703</v>
          </cell>
          <cell r="C247">
            <v>30.538</v>
          </cell>
          <cell r="D247">
            <v>35.976999999999997</v>
          </cell>
          <cell r="E247">
            <v>2.3290000000000002</v>
          </cell>
          <cell r="F247">
            <v>1.2521505376344086</v>
          </cell>
        </row>
        <row r="248">
          <cell r="B248">
            <v>44477.110110879628</v>
          </cell>
          <cell r="C248">
            <v>27.398</v>
          </cell>
          <cell r="D248">
            <v>33.106000000000002</v>
          </cell>
          <cell r="E248">
            <v>1.7070000000000001</v>
          </cell>
          <cell r="F248">
            <v>0.91774193548387095</v>
          </cell>
        </row>
        <row r="249">
          <cell r="B249">
            <v>44477.151777430554</v>
          </cell>
          <cell r="C249">
            <v>28.247</v>
          </cell>
          <cell r="D249">
            <v>32.637999999999998</v>
          </cell>
          <cell r="E249">
            <v>2.1259999999999999</v>
          </cell>
          <cell r="F249">
            <v>1.1430107526881719</v>
          </cell>
        </row>
        <row r="250">
          <cell r="B250">
            <v>44477.19344398148</v>
          </cell>
          <cell r="C250">
            <v>29.134</v>
          </cell>
          <cell r="D250">
            <v>33.500999999999998</v>
          </cell>
          <cell r="E250">
            <v>3.0129999999999999</v>
          </cell>
          <cell r="F250">
            <v>1.6198924731182793</v>
          </cell>
        </row>
        <row r="251">
          <cell r="B251">
            <v>44477.235110532405</v>
          </cell>
          <cell r="C251">
            <v>30.646000000000001</v>
          </cell>
          <cell r="D251">
            <v>36.191000000000003</v>
          </cell>
          <cell r="E251">
            <v>2.919</v>
          </cell>
          <cell r="F251">
            <v>1.5693548387096774</v>
          </cell>
        </row>
        <row r="252">
          <cell r="B252">
            <v>44477.276777083331</v>
          </cell>
          <cell r="C252">
            <v>33.945</v>
          </cell>
          <cell r="D252">
            <v>40.43</v>
          </cell>
          <cell r="E252">
            <v>2.4420000000000002</v>
          </cell>
          <cell r="F252">
            <v>1.3129032258064517</v>
          </cell>
        </row>
        <row r="253">
          <cell r="B253">
            <v>44477.318443634256</v>
          </cell>
          <cell r="C253">
            <v>37.411000000000001</v>
          </cell>
          <cell r="D253">
            <v>42.790999999999997</v>
          </cell>
          <cell r="E253">
            <v>2.8916000000000004</v>
          </cell>
          <cell r="F253">
            <v>1.5546236559139786</v>
          </cell>
        </row>
        <row r="254">
          <cell r="B254">
            <v>44477.360110185182</v>
          </cell>
          <cell r="C254">
            <v>34.012999999999998</v>
          </cell>
          <cell r="D254">
            <v>42.661999999999999</v>
          </cell>
          <cell r="E254">
            <v>2.601</v>
          </cell>
          <cell r="F254">
            <v>1.3983870967741934</v>
          </cell>
        </row>
        <row r="255">
          <cell r="B255">
            <v>44477.401776736115</v>
          </cell>
          <cell r="C255">
            <v>34.003999999999998</v>
          </cell>
          <cell r="D255">
            <v>39.031999999999996</v>
          </cell>
          <cell r="E255">
            <v>1.962</v>
          </cell>
          <cell r="F255">
            <v>1.0548387096774192</v>
          </cell>
        </row>
        <row r="256">
          <cell r="B256">
            <v>44477.44344328704</v>
          </cell>
          <cell r="C256">
            <v>32.814999999999998</v>
          </cell>
          <cell r="D256">
            <v>38.026000000000003</v>
          </cell>
          <cell r="E256">
            <v>2.476</v>
          </cell>
          <cell r="F256">
            <v>1.3311827956989246</v>
          </cell>
        </row>
        <row r="257">
          <cell r="B257">
            <v>44477.485109837966</v>
          </cell>
          <cell r="C257">
            <v>29.407</v>
          </cell>
          <cell r="D257">
            <v>33.360999999999997</v>
          </cell>
          <cell r="E257">
            <v>1.8420000000000001</v>
          </cell>
          <cell r="F257">
            <v>0.99032258064516132</v>
          </cell>
        </row>
        <row r="258">
          <cell r="B258">
            <v>44477.526776388891</v>
          </cell>
          <cell r="C258">
            <v>28.87</v>
          </cell>
          <cell r="D258">
            <v>34.695</v>
          </cell>
          <cell r="E258">
            <v>2.4524000000000008</v>
          </cell>
          <cell r="F258">
            <v>1.3184946236559143</v>
          </cell>
        </row>
        <row r="259">
          <cell r="B259">
            <v>44477.568442939817</v>
          </cell>
          <cell r="C259">
            <v>28.995000000000001</v>
          </cell>
          <cell r="D259">
            <v>33.204000000000001</v>
          </cell>
          <cell r="E259">
            <v>2.7</v>
          </cell>
          <cell r="F259">
            <v>1.4516129032258065</v>
          </cell>
        </row>
        <row r="260">
          <cell r="B260">
            <v>44477.610109490743</v>
          </cell>
          <cell r="C260">
            <v>26.173999999999999</v>
          </cell>
          <cell r="D260">
            <v>32.192999999999998</v>
          </cell>
          <cell r="E260">
            <v>1.7310000000000001</v>
          </cell>
          <cell r="F260">
            <v>0.9306451612903226</v>
          </cell>
        </row>
        <row r="261">
          <cell r="B261">
            <v>44477.651776041668</v>
          </cell>
          <cell r="C261">
            <v>27.122</v>
          </cell>
          <cell r="D261">
            <v>32.698999999999998</v>
          </cell>
          <cell r="E261">
            <v>2.262</v>
          </cell>
          <cell r="F261">
            <v>1.2161290322580645</v>
          </cell>
        </row>
        <row r="262">
          <cell r="B262">
            <v>44477.693442592594</v>
          </cell>
          <cell r="C262">
            <v>25.620999999999999</v>
          </cell>
          <cell r="D262">
            <v>30.975999999999999</v>
          </cell>
          <cell r="E262">
            <v>1.8460000000000001</v>
          </cell>
          <cell r="F262">
            <v>0.99247311827956985</v>
          </cell>
        </row>
        <row r="263">
          <cell r="B263">
            <v>44477.735109143519</v>
          </cell>
          <cell r="C263">
            <v>25.966000000000001</v>
          </cell>
          <cell r="D263">
            <v>32.283000000000001</v>
          </cell>
          <cell r="E263">
            <v>1.75</v>
          </cell>
          <cell r="F263">
            <v>0.94086021505376338</v>
          </cell>
        </row>
        <row r="264">
          <cell r="B264">
            <v>44477.776775694445</v>
          </cell>
          <cell r="C264">
            <v>25.248000000000001</v>
          </cell>
          <cell r="D264">
            <v>32.481999999999999</v>
          </cell>
          <cell r="E264">
            <v>1.526</v>
          </cell>
          <cell r="F264">
            <v>0.82043010752688172</v>
          </cell>
        </row>
        <row r="265">
          <cell r="B265">
            <v>44477.818442245371</v>
          </cell>
          <cell r="C265">
            <v>26.111000000000001</v>
          </cell>
          <cell r="D265">
            <v>33.338000000000001</v>
          </cell>
          <cell r="E265">
            <v>1.355</v>
          </cell>
          <cell r="F265">
            <v>0.72849462365591389</v>
          </cell>
        </row>
        <row r="266">
          <cell r="B266">
            <v>44477.860108796296</v>
          </cell>
          <cell r="C266">
            <v>25.629000000000001</v>
          </cell>
          <cell r="D266">
            <v>30.692</v>
          </cell>
          <cell r="E266">
            <v>1.5680000000000001</v>
          </cell>
          <cell r="F266">
            <v>0.84301075268817205</v>
          </cell>
        </row>
        <row r="267">
          <cell r="B267">
            <v>44477.901775347222</v>
          </cell>
          <cell r="C267">
            <v>24.131</v>
          </cell>
          <cell r="D267">
            <v>27.626999999999999</v>
          </cell>
          <cell r="E267">
            <v>1.464</v>
          </cell>
          <cell r="F267">
            <v>0.78709677419354829</v>
          </cell>
        </row>
        <row r="268">
          <cell r="B268">
            <v>44477.943441898147</v>
          </cell>
          <cell r="C268">
            <v>23.940999999999999</v>
          </cell>
          <cell r="D268">
            <v>29.579000000000001</v>
          </cell>
          <cell r="E268">
            <v>1.379</v>
          </cell>
          <cell r="F268">
            <v>0.74139784946236553</v>
          </cell>
        </row>
        <row r="269">
          <cell r="B269">
            <v>44477.985108449073</v>
          </cell>
          <cell r="C269">
            <v>23.646999999999998</v>
          </cell>
          <cell r="D269">
            <v>28.593</v>
          </cell>
          <cell r="E269">
            <v>1.5189999999999999</v>
          </cell>
          <cell r="F269">
            <v>0.81666666666666654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A37B-A208-4D8C-89C2-E01ACF040C64}">
  <dimension ref="A1:AP656"/>
  <sheetViews>
    <sheetView tabSelected="1" zoomScale="85" zoomScaleNormal="85" workbookViewId="0">
      <pane xSplit="3" ySplit="7" topLeftCell="D8" activePane="bottomRight" state="frozen"/>
      <selection activeCell="W19" sqref="W19"/>
      <selection pane="topRight" activeCell="W19" sqref="W19"/>
      <selection pane="bottomLeft" activeCell="W19" sqref="W19"/>
      <selection pane="bottomRight" activeCell="AB24" sqref="AB24"/>
    </sheetView>
  </sheetViews>
  <sheetFormatPr defaultColWidth="12.625" defaultRowHeight="15" customHeight="1" x14ac:dyDescent="0.2"/>
  <cols>
    <col min="1" max="1" width="4.625" customWidth="1"/>
    <col min="2" max="2" width="12.125" customWidth="1"/>
    <col min="3" max="3" width="16.875" customWidth="1"/>
    <col min="4" max="9" width="9.375" customWidth="1"/>
    <col min="10" max="10" width="13.125" customWidth="1"/>
    <col min="11" max="19" width="9.375" customWidth="1"/>
    <col min="20" max="20" width="10.125" customWidth="1"/>
    <col min="21" max="21" width="10.75" bestFit="1" customWidth="1"/>
    <col min="22" max="23" width="4.875" customWidth="1"/>
    <col min="24" max="25" width="9.375" customWidth="1"/>
    <col min="26" max="26" width="10.625" customWidth="1"/>
    <col min="27" max="37" width="9.375" customWidth="1"/>
    <col min="38" max="38" width="13" bestFit="1" customWidth="1"/>
    <col min="39" max="42" width="8" customWidth="1"/>
  </cols>
  <sheetData>
    <row r="1" spans="1:42" ht="12.75" customHeight="1" x14ac:dyDescent="0.2">
      <c r="A1" s="1"/>
      <c r="B1" t="s">
        <v>0</v>
      </c>
      <c r="K1" s="2"/>
      <c r="L1" s="2"/>
      <c r="M1" s="2"/>
      <c r="N1" s="2"/>
      <c r="O1" s="2"/>
      <c r="P1" s="2"/>
      <c r="Q1" s="2"/>
      <c r="R1" s="2"/>
      <c r="S1" s="3"/>
      <c r="T1" s="4"/>
      <c r="U1" s="1"/>
      <c r="V1" s="2"/>
      <c r="W1" s="2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2.75" customHeight="1" x14ac:dyDescent="0.2">
      <c r="A2" s="1"/>
      <c r="B2" t="s">
        <v>1</v>
      </c>
      <c r="K2" s="2"/>
      <c r="L2" s="2"/>
      <c r="M2" s="2"/>
      <c r="N2" s="2"/>
      <c r="O2" s="2"/>
      <c r="P2" s="2"/>
      <c r="Q2" s="2"/>
      <c r="R2" s="2"/>
      <c r="S2" s="3"/>
      <c r="T2" s="4"/>
      <c r="U2" s="1"/>
      <c r="V2" s="2"/>
      <c r="W2" s="2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2.75" customHeight="1" x14ac:dyDescent="0.2">
      <c r="A3" s="1"/>
      <c r="B3" t="s">
        <v>2</v>
      </c>
      <c r="C3">
        <v>67953</v>
      </c>
      <c r="D3" t="s">
        <v>3</v>
      </c>
      <c r="E3">
        <v>67953</v>
      </c>
      <c r="F3" t="s">
        <v>4</v>
      </c>
      <c r="G3" t="s">
        <v>5</v>
      </c>
      <c r="H3">
        <v>25943</v>
      </c>
      <c r="I3" s="5">
        <v>44466.527199074073</v>
      </c>
      <c r="K3" s="2"/>
      <c r="L3" s="2"/>
      <c r="M3" s="2"/>
      <c r="N3" s="2"/>
      <c r="O3" s="2"/>
      <c r="P3" s="2"/>
      <c r="Q3" s="2"/>
      <c r="R3" s="2"/>
      <c r="S3" s="3"/>
      <c r="T3" s="4"/>
      <c r="U3" s="1"/>
      <c r="V3" s="2"/>
      <c r="W3" s="2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2.75" customHeight="1" x14ac:dyDescent="0.2">
      <c r="A4" s="1"/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3"/>
      <c r="T4" s="4"/>
      <c r="U4" s="4"/>
      <c r="V4" s="2"/>
      <c r="W4" s="2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2.75" customHeight="1" x14ac:dyDescent="0.2">
      <c r="A5" s="1"/>
      <c r="B5" s="1"/>
      <c r="C5" s="1"/>
      <c r="D5" s="6" t="s">
        <v>6</v>
      </c>
      <c r="E5" s="6" t="s">
        <v>6</v>
      </c>
      <c r="F5" s="6" t="s">
        <v>6</v>
      </c>
      <c r="G5" s="6" t="s">
        <v>6</v>
      </c>
      <c r="H5" s="6" t="s">
        <v>6</v>
      </c>
      <c r="I5" s="6" t="s">
        <v>6</v>
      </c>
      <c r="J5" s="6" t="s">
        <v>6</v>
      </c>
      <c r="K5" s="6"/>
      <c r="L5" s="6" t="s">
        <v>7</v>
      </c>
      <c r="M5" s="6" t="s">
        <v>7</v>
      </c>
      <c r="N5" s="6" t="s">
        <v>7</v>
      </c>
      <c r="O5" s="6" t="s">
        <v>7</v>
      </c>
      <c r="P5" s="6" t="s">
        <v>7</v>
      </c>
      <c r="Q5" s="6" t="s">
        <v>7</v>
      </c>
      <c r="R5" s="6" t="s">
        <v>7</v>
      </c>
      <c r="S5" s="6"/>
      <c r="T5" s="7" t="s">
        <v>8</v>
      </c>
      <c r="U5" s="7" t="s">
        <v>8</v>
      </c>
      <c r="AM5" s="1"/>
      <c r="AN5" s="1"/>
      <c r="AO5" s="3"/>
      <c r="AP5" s="3"/>
    </row>
    <row r="6" spans="1:42" ht="12.75" customHeight="1" x14ac:dyDescent="0.2">
      <c r="A6" s="1"/>
      <c r="B6" s="1"/>
      <c r="C6" s="1"/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/>
      <c r="L6" s="6" t="s">
        <v>9</v>
      </c>
      <c r="M6" s="6" t="s">
        <v>10</v>
      </c>
      <c r="N6" s="6" t="s">
        <v>11</v>
      </c>
      <c r="O6" s="6" t="s">
        <v>12</v>
      </c>
      <c r="P6" s="6" t="s">
        <v>13</v>
      </c>
      <c r="Q6" s="6" t="s">
        <v>14</v>
      </c>
      <c r="R6" s="6" t="s">
        <v>15</v>
      </c>
      <c r="S6" s="6"/>
      <c r="T6" s="7" t="s">
        <v>16</v>
      </c>
      <c r="U6" s="7" t="s">
        <v>556</v>
      </c>
      <c r="AM6" s="1"/>
      <c r="AN6" s="1"/>
      <c r="AO6" s="3"/>
      <c r="AP6" s="3"/>
    </row>
    <row r="7" spans="1:42" ht="12.75" customHeight="1" x14ac:dyDescent="0.2">
      <c r="A7" s="8" t="s">
        <v>17</v>
      </c>
      <c r="B7" s="8" t="s">
        <v>18</v>
      </c>
      <c r="C7" s="8" t="s">
        <v>19</v>
      </c>
      <c r="D7" s="9" t="s">
        <v>20</v>
      </c>
      <c r="E7" s="9" t="s">
        <v>20</v>
      </c>
      <c r="F7" s="9" t="s">
        <v>20</v>
      </c>
      <c r="G7" s="9" t="s">
        <v>21</v>
      </c>
      <c r="H7" s="9" t="s">
        <v>21</v>
      </c>
      <c r="I7" s="9" t="s">
        <v>21</v>
      </c>
      <c r="J7" s="9" t="s">
        <v>22</v>
      </c>
      <c r="K7" s="9"/>
      <c r="L7" s="9" t="s">
        <v>20</v>
      </c>
      <c r="M7" s="9" t="s">
        <v>20</v>
      </c>
      <c r="N7" s="9" t="s">
        <v>20</v>
      </c>
      <c r="O7" s="9" t="s">
        <v>21</v>
      </c>
      <c r="P7" s="9" t="s">
        <v>21</v>
      </c>
      <c r="Q7" s="9" t="s">
        <v>21</v>
      </c>
      <c r="R7" s="9" t="s">
        <v>22</v>
      </c>
      <c r="S7" s="9"/>
      <c r="T7" s="10" t="s">
        <v>23</v>
      </c>
      <c r="U7" s="10" t="s">
        <v>23</v>
      </c>
      <c r="AM7" s="1"/>
      <c r="AN7" s="1"/>
      <c r="AO7" s="3"/>
      <c r="AP7" s="3"/>
    </row>
    <row r="8" spans="1:42" ht="15" customHeight="1" x14ac:dyDescent="0.2">
      <c r="A8" s="11">
        <v>1</v>
      </c>
      <c r="B8" s="12" t="s">
        <v>24</v>
      </c>
      <c r="C8" s="13">
        <v>44467.005972222221</v>
      </c>
      <c r="D8" s="14">
        <v>-82.158000000000001</v>
      </c>
      <c r="E8" s="14">
        <v>81.381</v>
      </c>
      <c r="F8" s="14">
        <v>24.536000000000001</v>
      </c>
      <c r="G8" s="14">
        <v>-35.197000000000003</v>
      </c>
      <c r="H8" s="14">
        <v>37.523000000000003</v>
      </c>
      <c r="I8" s="14">
        <v>12.819000000000001</v>
      </c>
      <c r="J8" s="14">
        <v>0.21299999999999999</v>
      </c>
      <c r="K8" s="15">
        <f>AVERAGE(J8:J55)</f>
        <v>0.2013958333333333</v>
      </c>
      <c r="L8" s="14">
        <v>-86.51</v>
      </c>
      <c r="M8" s="14">
        <v>88.266000000000005</v>
      </c>
      <c r="N8" s="14">
        <v>23.861000000000001</v>
      </c>
      <c r="O8" s="14">
        <v>-40.292000000000002</v>
      </c>
      <c r="P8" s="14">
        <v>41.66</v>
      </c>
      <c r="Q8" s="14">
        <v>12.648999999999999</v>
      </c>
      <c r="R8" s="14">
        <v>0.21299999999999999</v>
      </c>
      <c r="S8" s="15">
        <f>AVERAGE(R8:R55)</f>
        <v>0.20254166666666659</v>
      </c>
      <c r="T8" s="14">
        <v>0.61699999999999999</v>
      </c>
      <c r="U8" s="31">
        <f>T8/1.86</f>
        <v>0.33172043010752689</v>
      </c>
      <c r="AM8" s="1"/>
      <c r="AN8" s="1"/>
      <c r="AO8" s="3"/>
      <c r="AP8" s="3"/>
    </row>
    <row r="9" spans="1:42" ht="12.75" customHeight="1" x14ac:dyDescent="0.2">
      <c r="A9" s="16"/>
      <c r="B9" s="12" t="s">
        <v>25</v>
      </c>
      <c r="C9" s="13">
        <v>44467.026805555557</v>
      </c>
      <c r="D9" s="14">
        <v>-78.281000000000006</v>
      </c>
      <c r="E9" s="14">
        <v>80.414000000000001</v>
      </c>
      <c r="F9" s="14">
        <v>21.260999999999999</v>
      </c>
      <c r="G9" s="14">
        <v>-33.21</v>
      </c>
      <c r="H9" s="14">
        <v>35.369999999999997</v>
      </c>
      <c r="I9" s="14">
        <v>10.989000000000001</v>
      </c>
      <c r="J9" s="14">
        <v>0.21299999999999999</v>
      </c>
      <c r="K9" s="15">
        <f t="shared" ref="K9:K55" si="0">K8</f>
        <v>0.2013958333333333</v>
      </c>
      <c r="L9" s="14">
        <v>-84.905000000000001</v>
      </c>
      <c r="M9" s="14">
        <v>73.018000000000001</v>
      </c>
      <c r="N9" s="14">
        <v>20.02</v>
      </c>
      <c r="O9" s="14">
        <v>-33.926000000000002</v>
      </c>
      <c r="P9" s="14">
        <v>37.966999999999999</v>
      </c>
      <c r="Q9" s="14">
        <v>10.574</v>
      </c>
      <c r="R9" s="14">
        <v>0.21299999999999999</v>
      </c>
      <c r="S9" s="15">
        <f t="shared" ref="S9:S55" si="1">S8</f>
        <v>0.20254166666666659</v>
      </c>
      <c r="T9" s="14" t="s">
        <v>26</v>
      </c>
      <c r="U9" s="31" t="e">
        <f t="shared" ref="U9:U72" si="2">T9/1.86</f>
        <v>#VALUE!</v>
      </c>
      <c r="AM9" s="1"/>
      <c r="AN9" s="1"/>
      <c r="AO9" s="3"/>
      <c r="AP9" s="3"/>
    </row>
    <row r="10" spans="1:42" ht="12.75" customHeight="1" x14ac:dyDescent="0.2">
      <c r="A10" s="16"/>
      <c r="B10" s="12" t="s">
        <v>27</v>
      </c>
      <c r="C10" s="13">
        <v>44467.047638888886</v>
      </c>
      <c r="D10" s="14">
        <v>-80.385000000000005</v>
      </c>
      <c r="E10" s="14">
        <v>81.506</v>
      </c>
      <c r="F10" s="14">
        <v>21.933</v>
      </c>
      <c r="G10" s="14">
        <v>-36.784999999999997</v>
      </c>
      <c r="H10" s="14">
        <v>38.670999999999999</v>
      </c>
      <c r="I10" s="14">
        <v>11.584</v>
      </c>
      <c r="J10" s="14">
        <v>0.21299999999999999</v>
      </c>
      <c r="K10" s="15">
        <f t="shared" si="0"/>
        <v>0.2013958333333333</v>
      </c>
      <c r="L10" s="14">
        <v>-82.125</v>
      </c>
      <c r="M10" s="14">
        <v>74.156999999999996</v>
      </c>
      <c r="N10" s="14">
        <v>20.398</v>
      </c>
      <c r="O10" s="14">
        <v>-35.893000000000001</v>
      </c>
      <c r="P10" s="14">
        <v>41.738999999999997</v>
      </c>
      <c r="Q10" s="14">
        <v>10.808</v>
      </c>
      <c r="R10" s="14">
        <v>0.21299999999999999</v>
      </c>
      <c r="S10" s="15">
        <f t="shared" si="1"/>
        <v>0.20254166666666659</v>
      </c>
      <c r="T10" s="14">
        <v>2.2429999999999999</v>
      </c>
      <c r="U10" s="31">
        <f t="shared" si="2"/>
        <v>1.2059139784946236</v>
      </c>
      <c r="AM10" s="1"/>
      <c r="AN10" s="1"/>
      <c r="AO10" s="3"/>
      <c r="AP10" s="3"/>
    </row>
    <row r="11" spans="1:42" ht="12.75" customHeight="1" x14ac:dyDescent="0.2">
      <c r="A11" s="16"/>
      <c r="B11" s="12" t="s">
        <v>28</v>
      </c>
      <c r="C11" s="13">
        <v>44467.068472106483</v>
      </c>
      <c r="D11" s="14">
        <v>-82.861000000000004</v>
      </c>
      <c r="E11" s="14">
        <v>76.930999999999997</v>
      </c>
      <c r="F11" s="14">
        <v>20.331</v>
      </c>
      <c r="G11" s="14">
        <v>-34.078000000000003</v>
      </c>
      <c r="H11" s="14">
        <v>41.34</v>
      </c>
      <c r="I11" s="14">
        <v>10.182</v>
      </c>
      <c r="J11" s="14">
        <v>0.21299999999999999</v>
      </c>
      <c r="K11" s="15">
        <f t="shared" si="0"/>
        <v>0.2013958333333333</v>
      </c>
      <c r="L11" s="14">
        <v>-72.225999999999999</v>
      </c>
      <c r="M11" s="14">
        <v>67.646000000000001</v>
      </c>
      <c r="N11" s="14">
        <v>18.452000000000002</v>
      </c>
      <c r="O11" s="14">
        <v>-37.475999999999999</v>
      </c>
      <c r="P11" s="14">
        <v>31.053000000000001</v>
      </c>
      <c r="Q11" s="14">
        <v>9.5220000000000002</v>
      </c>
      <c r="R11" s="14">
        <v>0.21299999999999999</v>
      </c>
      <c r="S11" s="15">
        <f t="shared" si="1"/>
        <v>0.20254166666666659</v>
      </c>
      <c r="T11" s="14" t="s">
        <v>26</v>
      </c>
      <c r="U11" s="31" t="e">
        <f t="shared" si="2"/>
        <v>#VALUE!</v>
      </c>
      <c r="AM11" s="1"/>
      <c r="AN11" s="1"/>
      <c r="AO11" s="3"/>
      <c r="AP11" s="17"/>
    </row>
    <row r="12" spans="1:42" ht="12.75" customHeight="1" x14ac:dyDescent="0.2">
      <c r="A12" s="16"/>
      <c r="B12" s="12" t="s">
        <v>29</v>
      </c>
      <c r="C12" s="13">
        <v>44467.089305381945</v>
      </c>
      <c r="D12" s="14">
        <v>-77.992999999999995</v>
      </c>
      <c r="E12" s="14">
        <v>67.75</v>
      </c>
      <c r="F12" s="14">
        <v>19.199000000000002</v>
      </c>
      <c r="G12" s="14">
        <v>-35.164999999999999</v>
      </c>
      <c r="H12" s="14">
        <v>36.036999999999999</v>
      </c>
      <c r="I12" s="14">
        <v>10.018000000000001</v>
      </c>
      <c r="J12" s="14">
        <v>0.21299999999999999</v>
      </c>
      <c r="K12" s="15">
        <f t="shared" si="0"/>
        <v>0.2013958333333333</v>
      </c>
      <c r="L12" s="14">
        <v>-65.548000000000002</v>
      </c>
      <c r="M12" s="14">
        <v>67.317999999999998</v>
      </c>
      <c r="N12" s="14">
        <v>17.942</v>
      </c>
      <c r="O12" s="14">
        <v>-34.725000000000001</v>
      </c>
      <c r="P12" s="14">
        <v>31.023</v>
      </c>
      <c r="Q12" s="14">
        <v>9.26</v>
      </c>
      <c r="R12" s="14">
        <v>0.21299999999999999</v>
      </c>
      <c r="S12" s="15">
        <f t="shared" si="1"/>
        <v>0.20254166666666659</v>
      </c>
      <c r="T12" s="14" t="s">
        <v>26</v>
      </c>
      <c r="U12" s="31" t="e">
        <f t="shared" si="2"/>
        <v>#VALUE!</v>
      </c>
      <c r="AM12" s="1"/>
      <c r="AN12" s="1"/>
      <c r="AO12" s="3"/>
      <c r="AP12" s="3"/>
    </row>
    <row r="13" spans="1:42" ht="12.75" customHeight="1" x14ac:dyDescent="0.2">
      <c r="A13" s="16"/>
      <c r="B13" s="12" t="s">
        <v>30</v>
      </c>
      <c r="C13" s="13">
        <v>44467.110138657408</v>
      </c>
      <c r="D13" s="14">
        <v>-66.564999999999998</v>
      </c>
      <c r="E13" s="14">
        <v>69.076999999999998</v>
      </c>
      <c r="F13" s="14">
        <v>19.404</v>
      </c>
      <c r="G13" s="14">
        <v>-35.965000000000003</v>
      </c>
      <c r="H13" s="14">
        <v>34.25</v>
      </c>
      <c r="I13" s="14">
        <v>9.9870000000000001</v>
      </c>
      <c r="J13" s="14">
        <v>0.2</v>
      </c>
      <c r="K13" s="15">
        <f t="shared" si="0"/>
        <v>0.2013958333333333</v>
      </c>
      <c r="L13" s="14">
        <v>-73.346999999999994</v>
      </c>
      <c r="M13" s="14">
        <v>65.742000000000004</v>
      </c>
      <c r="N13" s="14">
        <v>18.398</v>
      </c>
      <c r="O13" s="14">
        <v>-33.250999999999998</v>
      </c>
      <c r="P13" s="14">
        <v>35.188000000000002</v>
      </c>
      <c r="Q13" s="14">
        <v>9.3970000000000002</v>
      </c>
      <c r="R13" s="14">
        <v>0.2</v>
      </c>
      <c r="S13" s="15">
        <f t="shared" si="1"/>
        <v>0.20254166666666659</v>
      </c>
      <c r="T13" s="14">
        <v>1.4790000000000001</v>
      </c>
      <c r="U13" s="31">
        <f t="shared" si="2"/>
        <v>0.79516129032258065</v>
      </c>
      <c r="AM13" s="1"/>
      <c r="AN13" s="1"/>
      <c r="AO13" s="3"/>
      <c r="AP13" s="3"/>
    </row>
    <row r="14" spans="1:42" ht="12.75" customHeight="1" x14ac:dyDescent="0.2">
      <c r="A14" s="16"/>
      <c r="B14" s="12" t="s">
        <v>31</v>
      </c>
      <c r="C14" s="13">
        <v>44467.130971932871</v>
      </c>
      <c r="D14" s="14">
        <v>-84.152000000000001</v>
      </c>
      <c r="E14" s="14">
        <v>74.472999999999999</v>
      </c>
      <c r="F14" s="14">
        <v>21.960999999999999</v>
      </c>
      <c r="G14" s="14">
        <v>-38.911999999999999</v>
      </c>
      <c r="H14" s="14">
        <v>38.191000000000003</v>
      </c>
      <c r="I14" s="14">
        <v>11.52</v>
      </c>
      <c r="J14" s="14">
        <v>0.22500000000000001</v>
      </c>
      <c r="K14" s="15">
        <f t="shared" si="0"/>
        <v>0.2013958333333333</v>
      </c>
      <c r="L14" s="14">
        <v>-72.271000000000001</v>
      </c>
      <c r="M14" s="14">
        <v>71.483999999999995</v>
      </c>
      <c r="N14" s="14">
        <v>18.288</v>
      </c>
      <c r="O14" s="14">
        <v>-30.734000000000002</v>
      </c>
      <c r="P14" s="14">
        <v>36.228000000000002</v>
      </c>
      <c r="Q14" s="14">
        <v>9.6</v>
      </c>
      <c r="R14" s="14">
        <v>0.2</v>
      </c>
      <c r="S14" s="15">
        <f t="shared" si="1"/>
        <v>0.20254166666666659</v>
      </c>
      <c r="T14" s="14" t="s">
        <v>26</v>
      </c>
      <c r="U14" s="31" t="e">
        <f t="shared" si="2"/>
        <v>#VALUE!</v>
      </c>
      <c r="AM14" s="1"/>
      <c r="AN14" s="1"/>
      <c r="AO14" s="3"/>
      <c r="AP14" s="3"/>
    </row>
    <row r="15" spans="1:42" ht="12.75" customHeight="1" x14ac:dyDescent="0.2">
      <c r="A15" s="16"/>
      <c r="B15" s="12" t="s">
        <v>32</v>
      </c>
      <c r="C15" s="13">
        <v>44467.151805208334</v>
      </c>
      <c r="D15" s="14">
        <v>-63.712000000000003</v>
      </c>
      <c r="E15" s="14">
        <v>66.944999999999993</v>
      </c>
      <c r="F15" s="14">
        <v>19.771999999999998</v>
      </c>
      <c r="G15" s="14">
        <v>-29.774999999999999</v>
      </c>
      <c r="H15" s="14">
        <v>36.323</v>
      </c>
      <c r="I15" s="14">
        <v>10.391999999999999</v>
      </c>
      <c r="J15" s="14">
        <v>0.22500000000000001</v>
      </c>
      <c r="K15" s="15">
        <f t="shared" si="0"/>
        <v>0.2013958333333333</v>
      </c>
      <c r="L15" s="14">
        <v>-84.558000000000007</v>
      </c>
      <c r="M15" s="14">
        <v>87.141999999999996</v>
      </c>
      <c r="N15" s="14">
        <v>18.271000000000001</v>
      </c>
      <c r="O15" s="14">
        <v>-49.023000000000003</v>
      </c>
      <c r="P15" s="14">
        <v>33.06</v>
      </c>
      <c r="Q15" s="14">
        <v>9.1989999999999998</v>
      </c>
      <c r="R15" s="14">
        <v>0.22500000000000001</v>
      </c>
      <c r="S15" s="15">
        <f t="shared" si="1"/>
        <v>0.20254166666666659</v>
      </c>
      <c r="T15" s="14" t="s">
        <v>26</v>
      </c>
      <c r="U15" s="31" t="e">
        <f t="shared" si="2"/>
        <v>#VALUE!</v>
      </c>
      <c r="AM15" s="1"/>
      <c r="AN15" s="1"/>
      <c r="AO15" s="3"/>
      <c r="AP15" s="3"/>
    </row>
    <row r="16" spans="1:42" ht="12.75" customHeight="1" x14ac:dyDescent="0.2">
      <c r="A16" s="16"/>
      <c r="B16" s="12" t="s">
        <v>33</v>
      </c>
      <c r="C16" s="13">
        <v>44467.172638483797</v>
      </c>
      <c r="D16" s="14">
        <v>-64.292000000000002</v>
      </c>
      <c r="E16" s="14">
        <v>60.707000000000001</v>
      </c>
      <c r="F16" s="14">
        <v>19.148</v>
      </c>
      <c r="G16" s="14">
        <v>-43.948999999999998</v>
      </c>
      <c r="H16" s="14">
        <v>25.893000000000001</v>
      </c>
      <c r="I16" s="14">
        <v>9.9849999999999994</v>
      </c>
      <c r="J16" s="14">
        <v>0.22500000000000001</v>
      </c>
      <c r="K16" s="15">
        <f t="shared" si="0"/>
        <v>0.2013958333333333</v>
      </c>
      <c r="L16" s="14">
        <v>-80.379000000000005</v>
      </c>
      <c r="M16" s="14">
        <v>78.813999999999993</v>
      </c>
      <c r="N16" s="14">
        <v>17.501999999999999</v>
      </c>
      <c r="O16" s="14">
        <v>-38.790999999999997</v>
      </c>
      <c r="P16" s="14">
        <v>27.888999999999999</v>
      </c>
      <c r="Q16" s="14">
        <v>8.6890000000000001</v>
      </c>
      <c r="R16" s="14">
        <v>0.2</v>
      </c>
      <c r="S16" s="15">
        <f t="shared" si="1"/>
        <v>0.20254166666666659</v>
      </c>
      <c r="T16" s="14">
        <v>1.5740000000000001</v>
      </c>
      <c r="U16" s="31">
        <f t="shared" si="2"/>
        <v>0.84623655913978491</v>
      </c>
      <c r="AM16" s="1"/>
      <c r="AN16" s="1"/>
      <c r="AO16" s="1"/>
      <c r="AP16" s="18"/>
    </row>
    <row r="17" spans="1:42" ht="12.75" customHeight="1" x14ac:dyDescent="0.2">
      <c r="A17" s="16"/>
      <c r="B17" s="12" t="s">
        <v>34</v>
      </c>
      <c r="C17" s="13">
        <v>44467.193471759259</v>
      </c>
      <c r="D17" s="14">
        <v>-63.295999999999999</v>
      </c>
      <c r="E17" s="14">
        <v>63.107999999999997</v>
      </c>
      <c r="F17" s="14">
        <v>18.352</v>
      </c>
      <c r="G17" s="14">
        <v>-33.655999999999999</v>
      </c>
      <c r="H17" s="14">
        <v>27.861999999999998</v>
      </c>
      <c r="I17" s="14">
        <v>9.4860000000000007</v>
      </c>
      <c r="J17" s="14">
        <v>0.22500000000000001</v>
      </c>
      <c r="K17" s="15">
        <f t="shared" si="0"/>
        <v>0.2013958333333333</v>
      </c>
      <c r="L17" s="14">
        <v>-78.442999999999998</v>
      </c>
      <c r="M17" s="14">
        <v>80.861999999999995</v>
      </c>
      <c r="N17" s="14">
        <v>17.039000000000001</v>
      </c>
      <c r="O17" s="14">
        <v>-33.776000000000003</v>
      </c>
      <c r="P17" s="14">
        <v>33.881</v>
      </c>
      <c r="Q17" s="14">
        <v>8.4239999999999995</v>
      </c>
      <c r="R17" s="14">
        <v>0.2</v>
      </c>
      <c r="S17" s="15">
        <f t="shared" si="1"/>
        <v>0.20254166666666659</v>
      </c>
      <c r="T17" s="14" t="s">
        <v>26</v>
      </c>
      <c r="U17" s="31" t="e">
        <f t="shared" si="2"/>
        <v>#VALUE!</v>
      </c>
      <c r="AM17" s="1"/>
      <c r="AN17" s="1"/>
      <c r="AO17" s="1"/>
      <c r="AP17" s="1"/>
    </row>
    <row r="18" spans="1:42" ht="12.75" customHeight="1" x14ac:dyDescent="0.2">
      <c r="A18" s="16"/>
      <c r="B18" s="12" t="s">
        <v>35</v>
      </c>
      <c r="C18" s="13">
        <v>44467.214305034722</v>
      </c>
      <c r="D18" s="14">
        <v>-63.908000000000001</v>
      </c>
      <c r="E18" s="14">
        <v>56.494</v>
      </c>
      <c r="F18" s="14">
        <v>16.361000000000001</v>
      </c>
      <c r="G18" s="14">
        <v>-26.277000000000001</v>
      </c>
      <c r="H18" s="14">
        <v>33.162999999999997</v>
      </c>
      <c r="I18" s="14">
        <v>8.2919999999999998</v>
      </c>
      <c r="J18" s="14">
        <v>0.22500000000000001</v>
      </c>
      <c r="K18" s="15">
        <f t="shared" si="0"/>
        <v>0.2013958333333333</v>
      </c>
      <c r="L18" s="14">
        <v>-59.926000000000002</v>
      </c>
      <c r="M18" s="14">
        <v>55.841999999999999</v>
      </c>
      <c r="N18" s="14">
        <v>15.907999999999999</v>
      </c>
      <c r="O18" s="14">
        <v>-31.457999999999998</v>
      </c>
      <c r="P18" s="14">
        <v>20.661999999999999</v>
      </c>
      <c r="Q18" s="14">
        <v>7.4660000000000002</v>
      </c>
      <c r="R18" s="14">
        <v>0.22500000000000001</v>
      </c>
      <c r="S18" s="15">
        <f t="shared" si="1"/>
        <v>0.20254166666666659</v>
      </c>
      <c r="T18" s="14" t="s">
        <v>26</v>
      </c>
      <c r="U18" s="31" t="e">
        <f t="shared" si="2"/>
        <v>#VALUE!</v>
      </c>
      <c r="AM18" s="1"/>
      <c r="AN18" s="1"/>
      <c r="AO18" s="1"/>
      <c r="AP18" s="1"/>
    </row>
    <row r="19" spans="1:42" ht="12.75" customHeight="1" x14ac:dyDescent="0.2">
      <c r="A19" s="16"/>
      <c r="B19" s="12" t="s">
        <v>36</v>
      </c>
      <c r="C19" s="13">
        <v>44467.235138310185</v>
      </c>
      <c r="D19" s="14">
        <v>-71.313999999999993</v>
      </c>
      <c r="E19" s="14">
        <v>57.018000000000001</v>
      </c>
      <c r="F19" s="14">
        <v>16.582000000000001</v>
      </c>
      <c r="G19" s="14">
        <v>-27.001000000000001</v>
      </c>
      <c r="H19" s="14">
        <v>29.001000000000001</v>
      </c>
      <c r="I19" s="14">
        <v>8.375</v>
      </c>
      <c r="J19" s="14">
        <v>0.22500000000000001</v>
      </c>
      <c r="K19" s="15">
        <f t="shared" si="0"/>
        <v>0.2013958333333333</v>
      </c>
      <c r="L19" s="14">
        <v>-62.148000000000003</v>
      </c>
      <c r="M19" s="14">
        <v>64.84</v>
      </c>
      <c r="N19" s="14">
        <v>15.754</v>
      </c>
      <c r="O19" s="14">
        <v>-26.488</v>
      </c>
      <c r="P19" s="14">
        <v>26.625</v>
      </c>
      <c r="Q19" s="14">
        <v>7.6630000000000003</v>
      </c>
      <c r="R19" s="14">
        <v>0.22500000000000001</v>
      </c>
      <c r="S19" s="15">
        <f t="shared" si="1"/>
        <v>0.20254166666666659</v>
      </c>
      <c r="T19" s="14">
        <v>0.56699999999999995</v>
      </c>
      <c r="U19" s="31">
        <f t="shared" si="2"/>
        <v>0.30483870967741933</v>
      </c>
      <c r="AM19" s="1"/>
      <c r="AN19" s="1"/>
      <c r="AO19" s="1"/>
      <c r="AP19" s="1"/>
    </row>
    <row r="20" spans="1:42" ht="12.75" customHeight="1" x14ac:dyDescent="0.2">
      <c r="A20" s="16"/>
      <c r="B20" s="12" t="s">
        <v>37</v>
      </c>
      <c r="C20" s="13">
        <v>44467.255971585648</v>
      </c>
      <c r="D20" s="14">
        <v>-62.533000000000001</v>
      </c>
      <c r="E20" s="14">
        <v>49</v>
      </c>
      <c r="F20" s="14">
        <v>16.012</v>
      </c>
      <c r="G20" s="14">
        <v>-26.216000000000001</v>
      </c>
      <c r="H20" s="14">
        <v>29.93</v>
      </c>
      <c r="I20" s="14">
        <v>8.2230000000000008</v>
      </c>
      <c r="J20" s="14">
        <v>0.21299999999999999</v>
      </c>
      <c r="K20" s="15">
        <f t="shared" si="0"/>
        <v>0.2013958333333333</v>
      </c>
      <c r="L20" s="14">
        <v>-47.872999999999998</v>
      </c>
      <c r="M20" s="14">
        <v>53.91</v>
      </c>
      <c r="N20" s="14">
        <v>14.65</v>
      </c>
      <c r="O20" s="14">
        <v>-26.765000000000001</v>
      </c>
      <c r="P20" s="14">
        <v>20.161000000000001</v>
      </c>
      <c r="Q20" s="14">
        <v>7.1959999999999997</v>
      </c>
      <c r="R20" s="14">
        <v>0.21299999999999999</v>
      </c>
      <c r="S20" s="15">
        <f t="shared" si="1"/>
        <v>0.20254166666666659</v>
      </c>
      <c r="T20" s="14" t="s">
        <v>26</v>
      </c>
      <c r="U20" s="31" t="e">
        <f t="shared" si="2"/>
        <v>#VALUE!</v>
      </c>
      <c r="AM20" s="1"/>
      <c r="AN20" s="1"/>
      <c r="AO20" s="1"/>
      <c r="AP20" s="1"/>
    </row>
    <row r="21" spans="1:42" ht="12.75" customHeight="1" x14ac:dyDescent="0.2">
      <c r="A21" s="16"/>
      <c r="B21" s="12" t="s">
        <v>38</v>
      </c>
      <c r="C21" s="13">
        <v>44467.276804861111</v>
      </c>
      <c r="D21" s="14">
        <v>-57.595999999999997</v>
      </c>
      <c r="E21" s="14">
        <v>49.212000000000003</v>
      </c>
      <c r="F21" s="14">
        <v>15.75</v>
      </c>
      <c r="G21" s="14">
        <v>-28.693000000000001</v>
      </c>
      <c r="H21" s="14">
        <v>23.456</v>
      </c>
      <c r="I21" s="14">
        <v>7.9130000000000003</v>
      </c>
      <c r="J21" s="14">
        <v>0.22500000000000001</v>
      </c>
      <c r="K21" s="15">
        <f t="shared" si="0"/>
        <v>0.2013958333333333</v>
      </c>
      <c r="L21" s="14">
        <v>-61.741</v>
      </c>
      <c r="M21" s="14">
        <v>57.832000000000001</v>
      </c>
      <c r="N21" s="14">
        <v>14.034000000000001</v>
      </c>
      <c r="O21" s="14">
        <v>-29.632999999999999</v>
      </c>
      <c r="P21" s="14">
        <v>25.984999999999999</v>
      </c>
      <c r="Q21" s="14">
        <v>6.7939999999999996</v>
      </c>
      <c r="R21" s="14">
        <v>0.2</v>
      </c>
      <c r="S21" s="15">
        <f t="shared" si="1"/>
        <v>0.20254166666666659</v>
      </c>
      <c r="T21" s="14" t="s">
        <v>26</v>
      </c>
      <c r="U21" s="31" t="e">
        <f t="shared" si="2"/>
        <v>#VALUE!</v>
      </c>
      <c r="AM21" s="1"/>
      <c r="AN21" s="1"/>
      <c r="AO21" s="1"/>
      <c r="AP21" s="1"/>
    </row>
    <row r="22" spans="1:42" ht="12.75" customHeight="1" x14ac:dyDescent="0.2">
      <c r="A22" s="16"/>
      <c r="B22" s="12" t="s">
        <v>39</v>
      </c>
      <c r="C22" s="13">
        <v>44467.297638136573</v>
      </c>
      <c r="D22" s="14">
        <v>-60.246000000000002</v>
      </c>
      <c r="E22" s="14">
        <v>63.978000000000002</v>
      </c>
      <c r="F22" s="14">
        <v>16.498999999999999</v>
      </c>
      <c r="G22" s="14">
        <v>-27.202000000000002</v>
      </c>
      <c r="H22" s="14">
        <v>29.917000000000002</v>
      </c>
      <c r="I22" s="14">
        <v>8.4580000000000002</v>
      </c>
      <c r="J22" s="14">
        <v>0.21299999999999999</v>
      </c>
      <c r="K22" s="15">
        <f t="shared" si="0"/>
        <v>0.2013958333333333</v>
      </c>
      <c r="L22" s="14">
        <v>-50.896000000000001</v>
      </c>
      <c r="M22" s="14">
        <v>55.92</v>
      </c>
      <c r="N22" s="14">
        <v>14.670999999999999</v>
      </c>
      <c r="O22" s="14">
        <v>-27.509</v>
      </c>
      <c r="P22" s="14">
        <v>20.959</v>
      </c>
      <c r="Q22" s="14">
        <v>7.2080000000000002</v>
      </c>
      <c r="R22" s="14">
        <v>0.2</v>
      </c>
      <c r="S22" s="15">
        <f t="shared" si="1"/>
        <v>0.20254166666666659</v>
      </c>
      <c r="T22" s="14">
        <v>0.59199999999999997</v>
      </c>
      <c r="U22" s="31">
        <f t="shared" si="2"/>
        <v>0.31827956989247308</v>
      </c>
      <c r="AM22" s="1"/>
      <c r="AN22" s="1"/>
      <c r="AO22" s="1"/>
      <c r="AP22" s="1"/>
    </row>
    <row r="23" spans="1:42" ht="12.75" customHeight="1" x14ac:dyDescent="0.2">
      <c r="A23" s="16"/>
      <c r="B23" s="12" t="s">
        <v>40</v>
      </c>
      <c r="C23" s="13">
        <v>44467.318471412036</v>
      </c>
      <c r="D23" s="14">
        <v>-56.308999999999997</v>
      </c>
      <c r="E23" s="14">
        <v>55.116999999999997</v>
      </c>
      <c r="F23" s="14">
        <v>15.331</v>
      </c>
      <c r="G23" s="14">
        <v>-29.64</v>
      </c>
      <c r="H23" s="14">
        <v>28.146999999999998</v>
      </c>
      <c r="I23" s="14">
        <v>7.766</v>
      </c>
      <c r="J23" s="14">
        <v>0.21299999999999999</v>
      </c>
      <c r="K23" s="15">
        <f t="shared" si="0"/>
        <v>0.2013958333333333</v>
      </c>
      <c r="L23" s="14">
        <v>-47.036000000000001</v>
      </c>
      <c r="M23" s="14">
        <v>50.253999999999998</v>
      </c>
      <c r="N23" s="14">
        <v>14.752000000000001</v>
      </c>
      <c r="O23" s="14">
        <v>-25.645</v>
      </c>
      <c r="P23" s="14">
        <v>18.734999999999999</v>
      </c>
      <c r="Q23" s="14">
        <v>7.2169999999999996</v>
      </c>
      <c r="R23" s="14">
        <v>0.2</v>
      </c>
      <c r="S23" s="15">
        <f t="shared" si="1"/>
        <v>0.20254166666666659</v>
      </c>
      <c r="T23" s="14" t="s">
        <v>26</v>
      </c>
      <c r="U23" s="31" t="e">
        <f t="shared" si="2"/>
        <v>#VALUE!</v>
      </c>
      <c r="AM23" s="1"/>
      <c r="AN23" s="1"/>
      <c r="AO23" s="1"/>
      <c r="AP23" s="1"/>
    </row>
    <row r="24" spans="1:42" ht="12.75" customHeight="1" x14ac:dyDescent="0.2">
      <c r="A24" s="16"/>
      <c r="B24" s="12" t="s">
        <v>41</v>
      </c>
      <c r="C24" s="13">
        <v>44467.339304687499</v>
      </c>
      <c r="D24" s="14">
        <v>-55.277000000000001</v>
      </c>
      <c r="E24" s="14">
        <v>62.718000000000004</v>
      </c>
      <c r="F24" s="14">
        <v>15.634</v>
      </c>
      <c r="G24" s="14">
        <v>-24.065000000000001</v>
      </c>
      <c r="H24" s="14">
        <v>31.989000000000001</v>
      </c>
      <c r="I24" s="14">
        <v>7.9269999999999996</v>
      </c>
      <c r="J24" s="14">
        <v>0.2</v>
      </c>
      <c r="K24" s="15">
        <f t="shared" si="0"/>
        <v>0.2013958333333333</v>
      </c>
      <c r="L24" s="14">
        <v>-60.680999999999997</v>
      </c>
      <c r="M24" s="14">
        <v>60.009</v>
      </c>
      <c r="N24" s="14">
        <v>13.936</v>
      </c>
      <c r="O24" s="14">
        <v>-27.064</v>
      </c>
      <c r="P24" s="14">
        <v>31.946999999999999</v>
      </c>
      <c r="Q24" s="14">
        <v>6.8769999999999998</v>
      </c>
      <c r="R24" s="14">
        <v>0.2</v>
      </c>
      <c r="S24" s="15">
        <f t="shared" si="1"/>
        <v>0.20254166666666659</v>
      </c>
      <c r="T24" s="14" t="s">
        <v>26</v>
      </c>
      <c r="U24" s="31" t="e">
        <f t="shared" si="2"/>
        <v>#VALUE!</v>
      </c>
      <c r="AM24" s="1"/>
      <c r="AN24" s="1"/>
      <c r="AO24" s="1"/>
      <c r="AP24" s="1"/>
    </row>
    <row r="25" spans="1:42" ht="12.75" customHeight="1" x14ac:dyDescent="0.2">
      <c r="A25" s="16"/>
      <c r="B25" s="12" t="s">
        <v>42</v>
      </c>
      <c r="C25" s="13">
        <v>44467.360137962962</v>
      </c>
      <c r="D25" s="14">
        <v>-57.787999999999997</v>
      </c>
      <c r="E25" s="14">
        <v>58.003</v>
      </c>
      <c r="F25" s="14">
        <v>14.911</v>
      </c>
      <c r="G25" s="14">
        <v>-26.664000000000001</v>
      </c>
      <c r="H25" s="14">
        <v>31.193000000000001</v>
      </c>
      <c r="I25" s="14">
        <v>7.6769999999999996</v>
      </c>
      <c r="J25" s="14">
        <v>0.22500000000000001</v>
      </c>
      <c r="K25" s="15">
        <f t="shared" si="0"/>
        <v>0.2013958333333333</v>
      </c>
      <c r="L25" s="14">
        <v>-51.506</v>
      </c>
      <c r="M25" s="14">
        <v>54.622999999999998</v>
      </c>
      <c r="N25" s="14">
        <v>13.532</v>
      </c>
      <c r="O25" s="14">
        <v>-22.545999999999999</v>
      </c>
      <c r="P25" s="14">
        <v>27.367000000000001</v>
      </c>
      <c r="Q25" s="14">
        <v>6.7990000000000004</v>
      </c>
      <c r="R25" s="14">
        <v>0.188</v>
      </c>
      <c r="S25" s="15">
        <f t="shared" si="1"/>
        <v>0.20254166666666659</v>
      </c>
      <c r="T25" s="14">
        <v>0.51800000000000002</v>
      </c>
      <c r="U25" s="31">
        <f t="shared" si="2"/>
        <v>0.27849462365591399</v>
      </c>
      <c r="AM25" s="1"/>
      <c r="AN25" s="1"/>
      <c r="AO25" s="1"/>
      <c r="AP25" s="1"/>
    </row>
    <row r="26" spans="1:42" ht="12.75" customHeight="1" x14ac:dyDescent="0.2">
      <c r="A26" s="16"/>
      <c r="B26" s="12" t="s">
        <v>43</v>
      </c>
      <c r="C26" s="13">
        <v>44467.380971238425</v>
      </c>
      <c r="D26" s="14">
        <v>-60.052999999999997</v>
      </c>
      <c r="E26" s="14">
        <v>59.207000000000001</v>
      </c>
      <c r="F26" s="14">
        <v>15.023</v>
      </c>
      <c r="G26" s="14">
        <v>-29.693999999999999</v>
      </c>
      <c r="H26" s="14">
        <v>24.818000000000001</v>
      </c>
      <c r="I26" s="14">
        <v>7.49</v>
      </c>
      <c r="J26" s="14">
        <v>0.21299999999999999</v>
      </c>
      <c r="K26" s="15">
        <f t="shared" si="0"/>
        <v>0.2013958333333333</v>
      </c>
      <c r="L26" s="14">
        <v>-57.33</v>
      </c>
      <c r="M26" s="14">
        <v>49.765999999999998</v>
      </c>
      <c r="N26" s="14">
        <v>13.919</v>
      </c>
      <c r="O26" s="14">
        <v>-24.393999999999998</v>
      </c>
      <c r="P26" s="14">
        <v>27.684999999999999</v>
      </c>
      <c r="Q26" s="14">
        <v>6.6459999999999999</v>
      </c>
      <c r="R26" s="14">
        <v>0.2</v>
      </c>
      <c r="S26" s="15">
        <f t="shared" si="1"/>
        <v>0.20254166666666659</v>
      </c>
      <c r="T26" s="14" t="s">
        <v>26</v>
      </c>
      <c r="U26" s="31" t="e">
        <f t="shared" si="2"/>
        <v>#VALUE!</v>
      </c>
      <c r="AM26" s="1"/>
      <c r="AN26" s="1"/>
      <c r="AO26" s="1"/>
      <c r="AP26" s="1"/>
    </row>
    <row r="27" spans="1:42" ht="12.75" customHeight="1" x14ac:dyDescent="0.2">
      <c r="A27" s="16"/>
      <c r="B27" s="12" t="s">
        <v>44</v>
      </c>
      <c r="C27" s="13">
        <v>44467.401804513887</v>
      </c>
      <c r="D27" s="14">
        <v>-48.433</v>
      </c>
      <c r="E27" s="14">
        <v>44.838000000000001</v>
      </c>
      <c r="F27" s="14">
        <v>14.061999999999999</v>
      </c>
      <c r="G27" s="14">
        <v>-28.161000000000001</v>
      </c>
      <c r="H27" s="14">
        <v>18.603000000000002</v>
      </c>
      <c r="I27" s="14">
        <v>7.1559999999999997</v>
      </c>
      <c r="J27" s="14">
        <v>0.2</v>
      </c>
      <c r="K27" s="15">
        <f t="shared" si="0"/>
        <v>0.2013958333333333</v>
      </c>
      <c r="L27" s="14">
        <v>-49.93</v>
      </c>
      <c r="M27" s="14">
        <v>49.387</v>
      </c>
      <c r="N27" s="14">
        <v>13.282999999999999</v>
      </c>
      <c r="O27" s="14">
        <v>-19.881</v>
      </c>
      <c r="P27" s="14">
        <v>23.756</v>
      </c>
      <c r="Q27" s="14">
        <v>6.4139999999999997</v>
      </c>
      <c r="R27" s="14">
        <v>0.2</v>
      </c>
      <c r="S27" s="15">
        <f t="shared" si="1"/>
        <v>0.20254166666666659</v>
      </c>
      <c r="T27" s="14">
        <v>0.52500000000000002</v>
      </c>
      <c r="U27" s="31">
        <f t="shared" si="2"/>
        <v>0.282258064516129</v>
      </c>
      <c r="AM27" s="1"/>
      <c r="AN27" s="1"/>
      <c r="AO27" s="1"/>
      <c r="AP27" s="1"/>
    </row>
    <row r="28" spans="1:42" ht="12.75" customHeight="1" x14ac:dyDescent="0.2">
      <c r="A28" s="16"/>
      <c r="B28" s="12" t="s">
        <v>45</v>
      </c>
      <c r="C28" s="13">
        <v>44467.42263778935</v>
      </c>
      <c r="D28" s="14">
        <v>-51.366999999999997</v>
      </c>
      <c r="E28" s="14">
        <v>48.834000000000003</v>
      </c>
      <c r="F28" s="14">
        <v>14.653</v>
      </c>
      <c r="G28" s="14">
        <v>-21.463999999999999</v>
      </c>
      <c r="H28" s="14">
        <v>26.959</v>
      </c>
      <c r="I28" s="14">
        <v>7.5529999999999999</v>
      </c>
      <c r="J28" s="14">
        <v>0.21299999999999999</v>
      </c>
      <c r="K28" s="15">
        <f t="shared" si="0"/>
        <v>0.2013958333333333</v>
      </c>
      <c r="L28" s="14">
        <v>-48.776000000000003</v>
      </c>
      <c r="M28" s="14">
        <v>50.39</v>
      </c>
      <c r="N28" s="14">
        <v>12.673999999999999</v>
      </c>
      <c r="O28" s="14">
        <v>-21.123000000000001</v>
      </c>
      <c r="P28" s="14">
        <v>23.135999999999999</v>
      </c>
      <c r="Q28" s="14">
        <v>6.3419999999999996</v>
      </c>
      <c r="R28" s="14">
        <v>0.2</v>
      </c>
      <c r="S28" s="15">
        <f t="shared" si="1"/>
        <v>0.20254166666666659</v>
      </c>
      <c r="T28" s="14" t="s">
        <v>26</v>
      </c>
      <c r="U28" s="31" t="e">
        <f t="shared" si="2"/>
        <v>#VALUE!</v>
      </c>
      <c r="AM28" s="1"/>
      <c r="AN28" s="1"/>
      <c r="AO28" s="1"/>
      <c r="AP28" s="1"/>
    </row>
    <row r="29" spans="1:42" ht="12.75" customHeight="1" x14ac:dyDescent="0.2">
      <c r="A29" s="16"/>
      <c r="B29" s="12" t="s">
        <v>46</v>
      </c>
      <c r="C29" s="13">
        <v>44467.443471064813</v>
      </c>
      <c r="D29" s="14">
        <v>-53.645000000000003</v>
      </c>
      <c r="E29" s="14">
        <v>54.911999999999999</v>
      </c>
      <c r="F29" s="14">
        <v>13.955</v>
      </c>
      <c r="G29" s="14">
        <v>-21.67</v>
      </c>
      <c r="H29" s="14">
        <v>26.472999999999999</v>
      </c>
      <c r="I29" s="14">
        <v>7.266</v>
      </c>
      <c r="J29" s="14">
        <v>0.22500000000000001</v>
      </c>
      <c r="K29" s="15">
        <f t="shared" si="0"/>
        <v>0.2013958333333333</v>
      </c>
      <c r="L29" s="14">
        <v>-46.25</v>
      </c>
      <c r="M29" s="14">
        <v>41.89</v>
      </c>
      <c r="N29" s="14">
        <v>12.339</v>
      </c>
      <c r="O29" s="14">
        <v>-19.837</v>
      </c>
      <c r="P29" s="14">
        <v>24.132999999999999</v>
      </c>
      <c r="Q29" s="14">
        <v>6.0309999999999997</v>
      </c>
      <c r="R29" s="14">
        <v>0.188</v>
      </c>
      <c r="S29" s="15">
        <f t="shared" si="1"/>
        <v>0.20254166666666659</v>
      </c>
      <c r="T29" s="14">
        <v>0.51900000000000002</v>
      </c>
      <c r="U29" s="31">
        <f t="shared" si="2"/>
        <v>0.27903225806451615</v>
      </c>
      <c r="AM29" s="1"/>
      <c r="AN29" s="1"/>
      <c r="AO29" s="1"/>
      <c r="AP29" s="1"/>
    </row>
    <row r="30" spans="1:42" ht="12.75" customHeight="1" x14ac:dyDescent="0.2">
      <c r="A30" s="16"/>
      <c r="B30" s="12" t="s">
        <v>47</v>
      </c>
      <c r="C30" s="13">
        <v>44467.464304340276</v>
      </c>
      <c r="D30" s="14">
        <v>-54.457999999999998</v>
      </c>
      <c r="E30" s="14">
        <v>49.204999999999998</v>
      </c>
      <c r="F30" s="14">
        <v>14.648</v>
      </c>
      <c r="G30" s="14">
        <v>-32.000999999999998</v>
      </c>
      <c r="H30" s="14">
        <v>22.216000000000001</v>
      </c>
      <c r="I30" s="14">
        <v>8.2560000000000002</v>
      </c>
      <c r="J30" s="14">
        <v>0.188</v>
      </c>
      <c r="K30" s="15">
        <f t="shared" si="0"/>
        <v>0.2013958333333333</v>
      </c>
      <c r="L30" s="14">
        <v>-49.284999999999997</v>
      </c>
      <c r="M30" s="14">
        <v>49.253999999999998</v>
      </c>
      <c r="N30" s="14">
        <v>12.702</v>
      </c>
      <c r="O30" s="14">
        <v>-24.893000000000001</v>
      </c>
      <c r="P30" s="14">
        <v>23.696999999999999</v>
      </c>
      <c r="Q30" s="14">
        <v>6.6449999999999996</v>
      </c>
      <c r="R30" s="14">
        <v>0.188</v>
      </c>
      <c r="S30" s="15">
        <f t="shared" si="1"/>
        <v>0.20254166666666659</v>
      </c>
      <c r="T30" s="14" t="s">
        <v>26</v>
      </c>
      <c r="U30" s="31" t="e">
        <f t="shared" si="2"/>
        <v>#VALUE!</v>
      </c>
      <c r="V30" s="1"/>
      <c r="W30" s="1"/>
      <c r="X30" s="1"/>
      <c r="Y30" s="1"/>
    </row>
    <row r="31" spans="1:42" ht="12.75" customHeight="1" x14ac:dyDescent="0.2">
      <c r="A31" s="16"/>
      <c r="B31" s="12" t="s">
        <v>48</v>
      </c>
      <c r="C31" s="13">
        <v>44467.485137615738</v>
      </c>
      <c r="D31" s="14">
        <v>-51.831000000000003</v>
      </c>
      <c r="E31" s="14">
        <v>53.814999999999998</v>
      </c>
      <c r="F31" s="14">
        <v>15.724</v>
      </c>
      <c r="G31" s="14">
        <v>-26.638999999999999</v>
      </c>
      <c r="H31" s="14">
        <v>36.465000000000003</v>
      </c>
      <c r="I31" s="14">
        <v>9.3390000000000004</v>
      </c>
      <c r="J31" s="14">
        <v>0.188</v>
      </c>
      <c r="K31" s="15">
        <f t="shared" si="0"/>
        <v>0.2013958333333333</v>
      </c>
      <c r="L31" s="14">
        <v>-49.003999999999998</v>
      </c>
      <c r="M31" s="14">
        <v>43.198</v>
      </c>
      <c r="N31" s="14">
        <v>12.869</v>
      </c>
      <c r="O31" s="14">
        <v>-19.38</v>
      </c>
      <c r="P31" s="14">
        <v>24.957999999999998</v>
      </c>
      <c r="Q31" s="14">
        <v>7.05</v>
      </c>
      <c r="R31" s="14">
        <v>0.188</v>
      </c>
      <c r="S31" s="15">
        <f t="shared" si="1"/>
        <v>0.20254166666666659</v>
      </c>
      <c r="T31" s="14">
        <v>0.58599999999999997</v>
      </c>
      <c r="U31" s="31">
        <f t="shared" si="2"/>
        <v>0.31505376344086017</v>
      </c>
      <c r="V31" s="1"/>
      <c r="W31" s="1"/>
      <c r="X31" s="1"/>
      <c r="Y31" s="1"/>
    </row>
    <row r="32" spans="1:42" ht="12.75" customHeight="1" x14ac:dyDescent="0.2">
      <c r="A32" s="16"/>
      <c r="B32" s="12" t="s">
        <v>49</v>
      </c>
      <c r="C32" s="13">
        <v>44467.505970891201</v>
      </c>
      <c r="D32" s="14">
        <v>-55.133000000000003</v>
      </c>
      <c r="E32" s="14">
        <v>53.55</v>
      </c>
      <c r="F32" s="14">
        <v>16.074999999999999</v>
      </c>
      <c r="G32" s="14">
        <v>-34.246000000000002</v>
      </c>
      <c r="H32" s="14">
        <v>25.678000000000001</v>
      </c>
      <c r="I32" s="14">
        <v>9.3559999999999999</v>
      </c>
      <c r="J32" s="14">
        <v>0.188</v>
      </c>
      <c r="K32" s="15">
        <f t="shared" si="0"/>
        <v>0.2013958333333333</v>
      </c>
      <c r="L32" s="14">
        <v>-43.567999999999998</v>
      </c>
      <c r="M32" s="14">
        <v>44.825000000000003</v>
      </c>
      <c r="N32" s="14">
        <v>12.943</v>
      </c>
      <c r="O32" s="14">
        <v>-25.533999999999999</v>
      </c>
      <c r="P32" s="14">
        <v>24.794</v>
      </c>
      <c r="Q32" s="14">
        <v>7.2130000000000001</v>
      </c>
      <c r="R32" s="14">
        <v>0.188</v>
      </c>
      <c r="S32" s="15">
        <f t="shared" si="1"/>
        <v>0.20254166666666659</v>
      </c>
      <c r="T32" s="14" t="s">
        <v>26</v>
      </c>
      <c r="U32" s="31" t="e">
        <f t="shared" si="2"/>
        <v>#VALUE!</v>
      </c>
      <c r="V32" s="1"/>
      <c r="W32" s="1"/>
      <c r="X32" s="1"/>
      <c r="Y32" s="1"/>
    </row>
    <row r="33" spans="1:25" ht="12.75" customHeight="1" x14ac:dyDescent="0.2">
      <c r="A33" s="16"/>
      <c r="B33" s="12" t="s">
        <v>50</v>
      </c>
      <c r="C33" s="13">
        <v>44467.526804166664</v>
      </c>
      <c r="D33" s="14">
        <v>-65.718999999999994</v>
      </c>
      <c r="E33" s="14">
        <v>66.432000000000002</v>
      </c>
      <c r="F33" s="14">
        <v>18.236000000000001</v>
      </c>
      <c r="G33" s="14">
        <v>-39.323999999999998</v>
      </c>
      <c r="H33" s="14">
        <v>39.35</v>
      </c>
      <c r="I33" s="14">
        <v>11.054</v>
      </c>
      <c r="J33" s="14">
        <v>0.188</v>
      </c>
      <c r="K33" s="15">
        <f t="shared" si="0"/>
        <v>0.2013958333333333</v>
      </c>
      <c r="L33" s="14">
        <v>-53.625999999999998</v>
      </c>
      <c r="M33" s="14">
        <v>47.05</v>
      </c>
      <c r="N33" s="14">
        <v>15.272</v>
      </c>
      <c r="O33" s="14">
        <v>-26.152999999999999</v>
      </c>
      <c r="P33" s="14">
        <v>26.876999999999999</v>
      </c>
      <c r="Q33" s="14">
        <v>8.9329999999999998</v>
      </c>
      <c r="R33" s="14">
        <v>0.188</v>
      </c>
      <c r="S33" s="15">
        <f t="shared" si="1"/>
        <v>0.20254166666666659</v>
      </c>
      <c r="T33" s="14">
        <v>0.56100000000000005</v>
      </c>
      <c r="U33" s="31">
        <f t="shared" si="2"/>
        <v>0.30161290322580647</v>
      </c>
      <c r="V33" s="1"/>
      <c r="W33" s="1"/>
      <c r="X33" s="1"/>
      <c r="Y33" s="1"/>
    </row>
    <row r="34" spans="1:25" ht="12.75" customHeight="1" x14ac:dyDescent="0.2">
      <c r="A34" s="16"/>
      <c r="B34" s="12" t="s">
        <v>51</v>
      </c>
      <c r="C34" s="13">
        <v>44467.547637442127</v>
      </c>
      <c r="D34" s="14">
        <v>-66.231999999999999</v>
      </c>
      <c r="E34" s="14">
        <v>75.182000000000002</v>
      </c>
      <c r="F34" s="14">
        <v>19.452000000000002</v>
      </c>
      <c r="G34" s="14">
        <v>-40.491999999999997</v>
      </c>
      <c r="H34" s="14">
        <v>38.722999999999999</v>
      </c>
      <c r="I34" s="14">
        <v>11.893000000000001</v>
      </c>
      <c r="J34" s="14">
        <v>0.188</v>
      </c>
      <c r="K34" s="15">
        <f t="shared" si="0"/>
        <v>0.2013958333333333</v>
      </c>
      <c r="L34" s="14">
        <v>-70.006</v>
      </c>
      <c r="M34" s="14">
        <v>67.828999999999994</v>
      </c>
      <c r="N34" s="14">
        <v>16.754000000000001</v>
      </c>
      <c r="O34" s="14">
        <v>-44.613</v>
      </c>
      <c r="P34" s="14">
        <v>29.87</v>
      </c>
      <c r="Q34" s="14">
        <v>9.891</v>
      </c>
      <c r="R34" s="14">
        <v>0.188</v>
      </c>
      <c r="S34" s="15">
        <f t="shared" si="1"/>
        <v>0.20254166666666659</v>
      </c>
      <c r="T34" s="14" t="s">
        <v>26</v>
      </c>
      <c r="U34" s="31" t="e">
        <f t="shared" si="2"/>
        <v>#VALUE!</v>
      </c>
      <c r="V34" s="1"/>
      <c r="W34" s="1"/>
      <c r="X34" s="1"/>
      <c r="Y34" s="1"/>
    </row>
    <row r="35" spans="1:25" ht="12.75" customHeight="1" x14ac:dyDescent="0.2">
      <c r="A35" s="16"/>
      <c r="B35" s="12" t="s">
        <v>52</v>
      </c>
      <c r="C35" s="13">
        <v>44467.56847071759</v>
      </c>
      <c r="D35" s="14">
        <v>-80.037000000000006</v>
      </c>
      <c r="E35" s="14">
        <v>71.754000000000005</v>
      </c>
      <c r="F35" s="14">
        <v>19.768999999999998</v>
      </c>
      <c r="G35" s="14">
        <v>-45.921999999999997</v>
      </c>
      <c r="H35" s="14">
        <v>40.457000000000001</v>
      </c>
      <c r="I35" s="14">
        <v>11.612</v>
      </c>
      <c r="J35" s="14">
        <v>0.188</v>
      </c>
      <c r="K35" s="15">
        <f t="shared" si="0"/>
        <v>0.2013958333333333</v>
      </c>
      <c r="L35" s="14">
        <v>-57.868000000000002</v>
      </c>
      <c r="M35" s="14">
        <v>63.723999999999997</v>
      </c>
      <c r="N35" s="14">
        <v>16.975999999999999</v>
      </c>
      <c r="O35" s="14">
        <v>-35.533000000000001</v>
      </c>
      <c r="P35" s="14">
        <v>35.225999999999999</v>
      </c>
      <c r="Q35" s="14">
        <v>9.6769999999999996</v>
      </c>
      <c r="R35" s="14">
        <v>0.188</v>
      </c>
      <c r="S35" s="15">
        <f t="shared" si="1"/>
        <v>0.20254166666666659</v>
      </c>
      <c r="T35" s="14">
        <v>0.58199999999999996</v>
      </c>
      <c r="U35" s="31">
        <f t="shared" si="2"/>
        <v>0.31290322580645158</v>
      </c>
      <c r="V35" s="1"/>
      <c r="W35" s="1"/>
      <c r="X35" s="1"/>
      <c r="Y35" s="1"/>
    </row>
    <row r="36" spans="1:25" ht="12.75" customHeight="1" x14ac:dyDescent="0.2">
      <c r="A36" s="16"/>
      <c r="B36" s="12" t="s">
        <v>53</v>
      </c>
      <c r="C36" s="13">
        <v>44467.589303993052</v>
      </c>
      <c r="D36" s="14">
        <v>-77.747</v>
      </c>
      <c r="E36" s="14">
        <v>70.599000000000004</v>
      </c>
      <c r="F36" s="14">
        <v>22.096</v>
      </c>
      <c r="G36" s="14">
        <v>-47.685000000000002</v>
      </c>
      <c r="H36" s="14">
        <v>32.67</v>
      </c>
      <c r="I36" s="14">
        <v>13.182</v>
      </c>
      <c r="J36" s="14">
        <v>0.188</v>
      </c>
      <c r="K36" s="15">
        <f t="shared" si="0"/>
        <v>0.2013958333333333</v>
      </c>
      <c r="L36" s="14">
        <v>-64.349999999999994</v>
      </c>
      <c r="M36" s="14">
        <v>68.548000000000002</v>
      </c>
      <c r="N36" s="14">
        <v>19.076000000000001</v>
      </c>
      <c r="O36" s="14">
        <v>-32.119</v>
      </c>
      <c r="P36" s="14">
        <v>32.558</v>
      </c>
      <c r="Q36" s="14">
        <v>10.670999999999999</v>
      </c>
      <c r="R36" s="14">
        <v>0.2</v>
      </c>
      <c r="S36" s="15">
        <f t="shared" si="1"/>
        <v>0.20254166666666659</v>
      </c>
      <c r="T36" s="14" t="s">
        <v>26</v>
      </c>
      <c r="U36" s="31" t="e">
        <f t="shared" si="2"/>
        <v>#VALUE!</v>
      </c>
      <c r="V36" s="1"/>
      <c r="W36" s="1"/>
      <c r="X36" s="1"/>
      <c r="Y36" s="1"/>
    </row>
    <row r="37" spans="1:25" ht="12.75" customHeight="1" x14ac:dyDescent="0.2">
      <c r="A37" s="16"/>
      <c r="B37" s="12" t="s">
        <v>54</v>
      </c>
      <c r="C37" s="13">
        <v>44467.610137268515</v>
      </c>
      <c r="D37" s="14">
        <v>-77.253</v>
      </c>
      <c r="E37" s="14">
        <v>89.921000000000006</v>
      </c>
      <c r="F37" s="14">
        <v>20.436</v>
      </c>
      <c r="G37" s="14">
        <v>-43.481000000000002</v>
      </c>
      <c r="H37" s="14">
        <v>43.11</v>
      </c>
      <c r="I37" s="14">
        <v>11.672000000000001</v>
      </c>
      <c r="J37" s="14">
        <v>0.188</v>
      </c>
      <c r="K37" s="15">
        <f t="shared" si="0"/>
        <v>0.2013958333333333</v>
      </c>
      <c r="L37" s="14">
        <v>-60.527999999999999</v>
      </c>
      <c r="M37" s="14">
        <v>65.244</v>
      </c>
      <c r="N37" s="14">
        <v>17.75</v>
      </c>
      <c r="O37" s="14">
        <v>-33.314999999999998</v>
      </c>
      <c r="P37" s="14">
        <v>35.677</v>
      </c>
      <c r="Q37" s="14">
        <v>9.7159999999999993</v>
      </c>
      <c r="R37" s="14">
        <v>0.21299999999999999</v>
      </c>
      <c r="S37" s="15">
        <f t="shared" si="1"/>
        <v>0.20254166666666659</v>
      </c>
      <c r="T37" s="14">
        <v>0.64300000000000002</v>
      </c>
      <c r="U37" s="31">
        <f t="shared" si="2"/>
        <v>0.3456989247311828</v>
      </c>
      <c r="V37" s="1"/>
      <c r="W37" s="1"/>
      <c r="X37" s="1"/>
      <c r="Y37" s="1"/>
    </row>
    <row r="38" spans="1:25" ht="12.75" customHeight="1" x14ac:dyDescent="0.2">
      <c r="A38" s="16"/>
      <c r="B38" s="12" t="s">
        <v>55</v>
      </c>
      <c r="C38" s="13">
        <v>44467.630970543978</v>
      </c>
      <c r="D38" s="14">
        <v>-74.177000000000007</v>
      </c>
      <c r="E38" s="14">
        <v>73.353999999999999</v>
      </c>
      <c r="F38" s="14">
        <v>21.167000000000002</v>
      </c>
      <c r="G38" s="14">
        <v>-38.622</v>
      </c>
      <c r="H38" s="14">
        <v>42.481999999999999</v>
      </c>
      <c r="I38" s="14">
        <v>12.026999999999999</v>
      </c>
      <c r="J38" s="14">
        <v>0.188</v>
      </c>
      <c r="K38" s="15">
        <f t="shared" si="0"/>
        <v>0.2013958333333333</v>
      </c>
      <c r="L38" s="14">
        <v>-59.247</v>
      </c>
      <c r="M38" s="14">
        <v>60.374000000000002</v>
      </c>
      <c r="N38" s="14">
        <v>18.541</v>
      </c>
      <c r="O38" s="14">
        <v>-30.268000000000001</v>
      </c>
      <c r="P38" s="14">
        <v>30.498000000000001</v>
      </c>
      <c r="Q38" s="14">
        <v>10.053000000000001</v>
      </c>
      <c r="R38" s="14">
        <v>0.2</v>
      </c>
      <c r="S38" s="15">
        <f t="shared" si="1"/>
        <v>0.20254166666666659</v>
      </c>
      <c r="T38" s="14" t="s">
        <v>26</v>
      </c>
      <c r="U38" s="31" t="e">
        <f t="shared" si="2"/>
        <v>#VALUE!</v>
      </c>
      <c r="V38" s="1"/>
      <c r="W38" s="1"/>
      <c r="X38" s="1"/>
      <c r="Y38" s="1"/>
    </row>
    <row r="39" spans="1:25" ht="12.75" customHeight="1" x14ac:dyDescent="0.2">
      <c r="A39" s="16"/>
      <c r="B39" s="12" t="s">
        <v>56</v>
      </c>
      <c r="C39" s="13">
        <v>44467.651803819441</v>
      </c>
      <c r="D39" s="14">
        <v>-84.167000000000002</v>
      </c>
      <c r="E39" s="14">
        <v>77.266999999999996</v>
      </c>
      <c r="F39" s="14">
        <v>22.059000000000001</v>
      </c>
      <c r="G39" s="14">
        <v>-51.45</v>
      </c>
      <c r="H39" s="14">
        <v>45.466999999999999</v>
      </c>
      <c r="I39" s="14">
        <v>11.944000000000001</v>
      </c>
      <c r="J39" s="14">
        <v>0.188</v>
      </c>
      <c r="K39" s="15">
        <f t="shared" si="0"/>
        <v>0.2013958333333333</v>
      </c>
      <c r="L39" s="14">
        <v>-74.924999999999997</v>
      </c>
      <c r="M39" s="14">
        <v>78.406000000000006</v>
      </c>
      <c r="N39" s="14">
        <v>19.931999999999999</v>
      </c>
      <c r="O39" s="14">
        <v>-40.363</v>
      </c>
      <c r="P39" s="14">
        <v>35.218000000000004</v>
      </c>
      <c r="Q39" s="14">
        <v>10.757999999999999</v>
      </c>
      <c r="R39" s="14">
        <v>0.2</v>
      </c>
      <c r="S39" s="15">
        <f t="shared" si="1"/>
        <v>0.20254166666666659</v>
      </c>
      <c r="T39" s="14">
        <v>0.59599999999999997</v>
      </c>
      <c r="U39" s="31">
        <f t="shared" si="2"/>
        <v>0.32043010752688167</v>
      </c>
      <c r="V39" s="1"/>
      <c r="W39" s="1"/>
      <c r="X39" s="1"/>
      <c r="Y39" s="1"/>
    </row>
    <row r="40" spans="1:25" ht="12.75" customHeight="1" x14ac:dyDescent="0.2">
      <c r="A40" s="16"/>
      <c r="B40" s="12" t="s">
        <v>57</v>
      </c>
      <c r="C40" s="13">
        <v>44467.672637094911</v>
      </c>
      <c r="D40" s="14">
        <v>-83.51</v>
      </c>
      <c r="E40" s="14">
        <v>78.052000000000007</v>
      </c>
      <c r="F40" s="14">
        <v>22.367999999999999</v>
      </c>
      <c r="G40" s="14">
        <v>-35.152000000000001</v>
      </c>
      <c r="H40" s="14">
        <v>54.557000000000002</v>
      </c>
      <c r="I40" s="14">
        <v>12.715</v>
      </c>
      <c r="J40" s="14">
        <v>0.188</v>
      </c>
      <c r="K40" s="15">
        <f t="shared" si="0"/>
        <v>0.2013958333333333</v>
      </c>
      <c r="L40" s="14">
        <v>-70.021000000000001</v>
      </c>
      <c r="M40" s="14">
        <v>73.843999999999994</v>
      </c>
      <c r="N40" s="14">
        <v>19.091999999999999</v>
      </c>
      <c r="O40" s="14">
        <v>-29.244</v>
      </c>
      <c r="P40" s="14">
        <v>41.078000000000003</v>
      </c>
      <c r="Q40" s="14">
        <v>10.244999999999999</v>
      </c>
      <c r="R40" s="14">
        <v>0.2</v>
      </c>
      <c r="S40" s="15">
        <f t="shared" si="1"/>
        <v>0.20254166666666659</v>
      </c>
      <c r="T40" s="14" t="s">
        <v>26</v>
      </c>
      <c r="U40" s="31" t="e">
        <f t="shared" si="2"/>
        <v>#VALUE!</v>
      </c>
      <c r="V40" s="1"/>
      <c r="W40" s="1"/>
      <c r="X40" s="1"/>
      <c r="Y40" s="1"/>
    </row>
    <row r="41" spans="1:25" ht="12.75" customHeight="1" x14ac:dyDescent="0.2">
      <c r="A41" s="16"/>
      <c r="B41" s="12" t="s">
        <v>58</v>
      </c>
      <c r="C41" s="13">
        <v>44467.693470370374</v>
      </c>
      <c r="D41" s="14">
        <v>-82.625</v>
      </c>
      <c r="E41" s="14">
        <v>68.400999999999996</v>
      </c>
      <c r="F41" s="14">
        <v>22.25</v>
      </c>
      <c r="G41" s="14">
        <v>-49.963000000000001</v>
      </c>
      <c r="H41" s="14">
        <v>39.61</v>
      </c>
      <c r="I41" s="14">
        <v>12.462</v>
      </c>
      <c r="J41" s="14">
        <v>0.188</v>
      </c>
      <c r="K41" s="15">
        <f t="shared" si="0"/>
        <v>0.2013958333333333</v>
      </c>
      <c r="L41" s="14">
        <v>-64.793999999999997</v>
      </c>
      <c r="M41" s="14">
        <v>71.403000000000006</v>
      </c>
      <c r="N41" s="14">
        <v>19.824999999999999</v>
      </c>
      <c r="O41" s="14">
        <v>-35.994</v>
      </c>
      <c r="P41" s="14">
        <v>28.904</v>
      </c>
      <c r="Q41" s="14">
        <v>10.613</v>
      </c>
      <c r="R41" s="14">
        <v>0.22500000000000001</v>
      </c>
      <c r="S41" s="15">
        <f t="shared" si="1"/>
        <v>0.20254166666666659</v>
      </c>
      <c r="T41" s="14">
        <v>0.64500000000000002</v>
      </c>
      <c r="U41" s="31">
        <f t="shared" si="2"/>
        <v>0.34677419354838707</v>
      </c>
      <c r="V41" s="1"/>
      <c r="W41" s="1"/>
      <c r="X41" s="1"/>
      <c r="Y41" s="1"/>
    </row>
    <row r="42" spans="1:25" ht="12.75" customHeight="1" x14ac:dyDescent="0.2">
      <c r="A42" s="16"/>
      <c r="B42" s="12" t="s">
        <v>59</v>
      </c>
      <c r="C42" s="13">
        <v>44467.714303645836</v>
      </c>
      <c r="D42" s="14">
        <v>-103.176</v>
      </c>
      <c r="E42" s="14">
        <v>82.536000000000001</v>
      </c>
      <c r="F42" s="14">
        <v>25.030999999999999</v>
      </c>
      <c r="G42" s="14">
        <v>-45.194000000000003</v>
      </c>
      <c r="H42" s="14">
        <v>60.56</v>
      </c>
      <c r="I42" s="14">
        <v>13.397</v>
      </c>
      <c r="J42" s="14">
        <v>0.188</v>
      </c>
      <c r="K42" s="15">
        <f t="shared" si="0"/>
        <v>0.2013958333333333</v>
      </c>
      <c r="L42" s="14">
        <v>-68.787000000000006</v>
      </c>
      <c r="M42" s="14">
        <v>70.617999999999995</v>
      </c>
      <c r="N42" s="14">
        <v>20.873999999999999</v>
      </c>
      <c r="O42" s="14">
        <v>-37.329000000000001</v>
      </c>
      <c r="P42" s="14">
        <v>34.686</v>
      </c>
      <c r="Q42" s="14">
        <v>11.01</v>
      </c>
      <c r="R42" s="14">
        <v>0.2</v>
      </c>
      <c r="S42" s="15">
        <f t="shared" si="1"/>
        <v>0.20254166666666659</v>
      </c>
      <c r="T42" s="14" t="s">
        <v>26</v>
      </c>
      <c r="U42" s="31" t="e">
        <f t="shared" si="2"/>
        <v>#VALUE!</v>
      </c>
      <c r="V42" s="1"/>
      <c r="W42" s="1"/>
      <c r="X42" s="1"/>
      <c r="Y42" s="1"/>
    </row>
    <row r="43" spans="1:25" ht="12.75" customHeight="1" x14ac:dyDescent="0.2">
      <c r="A43" s="16"/>
      <c r="B43" s="12" t="s">
        <v>60</v>
      </c>
      <c r="C43" s="13">
        <v>44467.735136921299</v>
      </c>
      <c r="D43" s="14">
        <v>-83.054000000000002</v>
      </c>
      <c r="E43" s="14">
        <v>76.87</v>
      </c>
      <c r="F43" s="14">
        <v>24.026</v>
      </c>
      <c r="G43" s="14">
        <v>-49.158000000000001</v>
      </c>
      <c r="H43" s="14">
        <v>35.875999999999998</v>
      </c>
      <c r="I43" s="14">
        <v>13.097</v>
      </c>
      <c r="J43" s="14">
        <v>0.188</v>
      </c>
      <c r="K43" s="15">
        <f t="shared" si="0"/>
        <v>0.2013958333333333</v>
      </c>
      <c r="L43" s="14">
        <v>-77.870999999999995</v>
      </c>
      <c r="M43" s="14">
        <v>81.405000000000001</v>
      </c>
      <c r="N43" s="14">
        <v>20.870999999999999</v>
      </c>
      <c r="O43" s="14">
        <v>-38.744999999999997</v>
      </c>
      <c r="P43" s="14">
        <v>32.673000000000002</v>
      </c>
      <c r="Q43" s="14">
        <v>10.814</v>
      </c>
      <c r="R43" s="14">
        <v>0.22500000000000001</v>
      </c>
      <c r="S43" s="15">
        <f t="shared" si="1"/>
        <v>0.20254166666666659</v>
      </c>
      <c r="T43" s="14">
        <v>0.62</v>
      </c>
      <c r="U43" s="31">
        <f t="shared" si="2"/>
        <v>0.33333333333333331</v>
      </c>
      <c r="V43" s="1"/>
      <c r="W43" s="1"/>
      <c r="X43" s="1"/>
      <c r="Y43" s="1"/>
    </row>
    <row r="44" spans="1:25" ht="12.75" customHeight="1" x14ac:dyDescent="0.2">
      <c r="A44" s="16"/>
      <c r="B44" s="12" t="s">
        <v>61</v>
      </c>
      <c r="C44" s="13">
        <v>44467.755970196762</v>
      </c>
      <c r="D44" s="14">
        <v>-96.04</v>
      </c>
      <c r="E44" s="14">
        <v>84.218999999999994</v>
      </c>
      <c r="F44" s="14">
        <v>23.783999999999999</v>
      </c>
      <c r="G44" s="14">
        <v>-49.246000000000002</v>
      </c>
      <c r="H44" s="14">
        <v>39.905999999999999</v>
      </c>
      <c r="I44" s="14">
        <v>12.535</v>
      </c>
      <c r="J44" s="14">
        <v>0.188</v>
      </c>
      <c r="K44" s="15">
        <f t="shared" si="0"/>
        <v>0.2013958333333333</v>
      </c>
      <c r="L44" s="14">
        <v>-75.876999999999995</v>
      </c>
      <c r="M44" s="14">
        <v>81.772999999999996</v>
      </c>
      <c r="N44" s="14">
        <v>21.074000000000002</v>
      </c>
      <c r="O44" s="14">
        <v>-37.335999999999999</v>
      </c>
      <c r="P44" s="14">
        <v>37.933999999999997</v>
      </c>
      <c r="Q44" s="14">
        <v>10.948</v>
      </c>
      <c r="R44" s="14">
        <v>0.21299999999999999</v>
      </c>
      <c r="S44" s="15">
        <f t="shared" si="1"/>
        <v>0.20254166666666659</v>
      </c>
      <c r="T44" s="14" t="s">
        <v>26</v>
      </c>
      <c r="U44" s="31" t="e">
        <f t="shared" si="2"/>
        <v>#VALUE!</v>
      </c>
      <c r="V44" s="1"/>
      <c r="W44" s="1"/>
      <c r="X44" s="1"/>
      <c r="Y44" s="1"/>
    </row>
    <row r="45" spans="1:25" ht="12.75" customHeight="1" x14ac:dyDescent="0.2">
      <c r="A45" s="16"/>
      <c r="B45" s="12" t="s">
        <v>62</v>
      </c>
      <c r="C45" s="13">
        <v>44467.776803472225</v>
      </c>
      <c r="D45" s="14">
        <v>-81.018000000000001</v>
      </c>
      <c r="E45" s="14">
        <v>80.554000000000002</v>
      </c>
      <c r="F45" s="14">
        <v>21.597000000000001</v>
      </c>
      <c r="G45" s="14">
        <v>-51.872999999999998</v>
      </c>
      <c r="H45" s="14">
        <v>34.274000000000001</v>
      </c>
      <c r="I45" s="14">
        <v>11.695</v>
      </c>
      <c r="J45" s="14">
        <v>0.188</v>
      </c>
      <c r="K45" s="15">
        <f t="shared" si="0"/>
        <v>0.2013958333333333</v>
      </c>
      <c r="L45" s="14">
        <v>-72.093999999999994</v>
      </c>
      <c r="M45" s="14">
        <v>75.094999999999999</v>
      </c>
      <c r="N45" s="14">
        <v>19.626000000000001</v>
      </c>
      <c r="O45" s="14">
        <v>-40.631999999999998</v>
      </c>
      <c r="P45" s="14">
        <v>41.548999999999999</v>
      </c>
      <c r="Q45" s="14">
        <v>10.340999999999999</v>
      </c>
      <c r="R45" s="14">
        <v>0.21299999999999999</v>
      </c>
      <c r="S45" s="15">
        <f t="shared" si="1"/>
        <v>0.20254166666666659</v>
      </c>
      <c r="T45" s="14">
        <v>0.745</v>
      </c>
      <c r="U45" s="31">
        <f t="shared" si="2"/>
        <v>0.40053763440860213</v>
      </c>
      <c r="V45" s="1"/>
      <c r="W45" s="1"/>
      <c r="X45" s="1"/>
      <c r="Y45" s="1"/>
    </row>
    <row r="46" spans="1:25" ht="12.75" customHeight="1" x14ac:dyDescent="0.2">
      <c r="A46" s="16"/>
      <c r="B46" s="12" t="s">
        <v>63</v>
      </c>
      <c r="C46" s="13">
        <v>44467.797636747688</v>
      </c>
      <c r="D46" s="14">
        <v>-85.225999999999999</v>
      </c>
      <c r="E46" s="14">
        <v>81.947999999999993</v>
      </c>
      <c r="F46" s="14">
        <v>22.93</v>
      </c>
      <c r="G46" s="14">
        <v>-48.503</v>
      </c>
      <c r="H46" s="14">
        <v>34.542999999999999</v>
      </c>
      <c r="I46" s="14">
        <v>12.843999999999999</v>
      </c>
      <c r="J46" s="14">
        <v>0.188</v>
      </c>
      <c r="K46" s="15">
        <f t="shared" si="0"/>
        <v>0.2013958333333333</v>
      </c>
      <c r="L46" s="14">
        <v>-62.247999999999998</v>
      </c>
      <c r="M46" s="14">
        <v>68.222999999999999</v>
      </c>
      <c r="N46" s="14">
        <v>19.532</v>
      </c>
      <c r="O46" s="14">
        <v>-33.218000000000004</v>
      </c>
      <c r="P46" s="14">
        <v>35.936</v>
      </c>
      <c r="Q46" s="14">
        <v>10.898999999999999</v>
      </c>
      <c r="R46" s="14">
        <v>0.2</v>
      </c>
      <c r="S46" s="15">
        <f t="shared" si="1"/>
        <v>0.20254166666666659</v>
      </c>
      <c r="T46" s="14" t="s">
        <v>26</v>
      </c>
      <c r="U46" s="31" t="e">
        <f t="shared" si="2"/>
        <v>#VALUE!</v>
      </c>
      <c r="V46" s="1"/>
      <c r="W46" s="1"/>
      <c r="X46" s="1"/>
      <c r="Y46" s="1"/>
    </row>
    <row r="47" spans="1:25" ht="12.75" customHeight="1" x14ac:dyDescent="0.2">
      <c r="A47" s="16"/>
      <c r="B47" s="12" t="s">
        <v>64</v>
      </c>
      <c r="C47" s="13">
        <v>44467.81847002315</v>
      </c>
      <c r="D47" s="14">
        <v>-82.253</v>
      </c>
      <c r="E47" s="14">
        <v>83.825999999999993</v>
      </c>
      <c r="F47" s="14">
        <v>23.497</v>
      </c>
      <c r="G47" s="14">
        <v>-48.914000000000001</v>
      </c>
      <c r="H47" s="14">
        <v>37.557000000000002</v>
      </c>
      <c r="I47" s="14">
        <v>12.920999999999999</v>
      </c>
      <c r="J47" s="14">
        <v>0.188</v>
      </c>
      <c r="K47" s="15">
        <f t="shared" si="0"/>
        <v>0.2013958333333333</v>
      </c>
      <c r="L47" s="14">
        <v>-73.478999999999999</v>
      </c>
      <c r="M47" s="14">
        <v>74.718999999999994</v>
      </c>
      <c r="N47" s="14">
        <v>20.076000000000001</v>
      </c>
      <c r="O47" s="14">
        <v>-39.902999999999999</v>
      </c>
      <c r="P47" s="14">
        <v>37.463999999999999</v>
      </c>
      <c r="Q47" s="14">
        <v>10.895</v>
      </c>
      <c r="R47" s="14">
        <v>0.2</v>
      </c>
      <c r="S47" s="15">
        <f t="shared" si="1"/>
        <v>0.20254166666666659</v>
      </c>
      <c r="T47" s="14">
        <v>0.71599999999999997</v>
      </c>
      <c r="U47" s="31">
        <f t="shared" si="2"/>
        <v>0.38494623655913973</v>
      </c>
      <c r="V47" s="1"/>
      <c r="W47" s="1"/>
      <c r="X47" s="1"/>
      <c r="Y47" s="1"/>
    </row>
    <row r="48" spans="1:25" ht="12.75" customHeight="1" x14ac:dyDescent="0.2">
      <c r="A48" s="16"/>
      <c r="B48" s="12" t="s">
        <v>65</v>
      </c>
      <c r="C48" s="13">
        <v>44467.839303298613</v>
      </c>
      <c r="D48" s="14">
        <v>-80.739000000000004</v>
      </c>
      <c r="E48" s="14">
        <v>88.653000000000006</v>
      </c>
      <c r="F48" s="14">
        <v>23.327000000000002</v>
      </c>
      <c r="G48" s="14">
        <v>-40.558999999999997</v>
      </c>
      <c r="H48" s="14">
        <v>53.066000000000003</v>
      </c>
      <c r="I48" s="14">
        <v>12.986000000000001</v>
      </c>
      <c r="J48" s="14">
        <v>0.188</v>
      </c>
      <c r="K48" s="15">
        <f t="shared" si="0"/>
        <v>0.2013958333333333</v>
      </c>
      <c r="L48" s="14">
        <v>-71.411000000000001</v>
      </c>
      <c r="M48" s="14">
        <v>69.631</v>
      </c>
      <c r="N48" s="14">
        <v>20.274000000000001</v>
      </c>
      <c r="O48" s="14">
        <v>-40.005000000000003</v>
      </c>
      <c r="P48" s="14">
        <v>33.542999999999999</v>
      </c>
      <c r="Q48" s="14">
        <v>11.478999999999999</v>
      </c>
      <c r="R48" s="14">
        <v>0.188</v>
      </c>
      <c r="S48" s="15">
        <f t="shared" si="1"/>
        <v>0.20254166666666659</v>
      </c>
      <c r="T48" s="14" t="s">
        <v>26</v>
      </c>
      <c r="U48" s="31" t="e">
        <f t="shared" si="2"/>
        <v>#VALUE!</v>
      </c>
      <c r="V48" s="1"/>
      <c r="W48" s="1"/>
      <c r="X48" s="1"/>
      <c r="Y48" s="1"/>
    </row>
    <row r="49" spans="1:25" ht="12.75" customHeight="1" x14ac:dyDescent="0.2">
      <c r="A49" s="16"/>
      <c r="B49" s="12" t="s">
        <v>66</v>
      </c>
      <c r="C49" s="13">
        <v>44467.860136574076</v>
      </c>
      <c r="D49" s="14">
        <v>-96.099000000000004</v>
      </c>
      <c r="E49" s="14">
        <v>100.746</v>
      </c>
      <c r="F49" s="14">
        <v>24.965</v>
      </c>
      <c r="G49" s="14">
        <v>-51.231000000000002</v>
      </c>
      <c r="H49" s="14">
        <v>56.865000000000002</v>
      </c>
      <c r="I49" s="14">
        <v>13.864000000000001</v>
      </c>
      <c r="J49" s="14">
        <v>0.188</v>
      </c>
      <c r="K49" s="15">
        <f t="shared" si="0"/>
        <v>0.2013958333333333</v>
      </c>
      <c r="L49" s="14">
        <v>-77.149000000000001</v>
      </c>
      <c r="M49" s="14">
        <v>74.927999999999997</v>
      </c>
      <c r="N49" s="14">
        <v>22.408000000000001</v>
      </c>
      <c r="O49" s="14">
        <v>-39.384</v>
      </c>
      <c r="P49" s="14">
        <v>41.594000000000001</v>
      </c>
      <c r="Q49" s="14">
        <v>12.743</v>
      </c>
      <c r="R49" s="14">
        <v>0.2</v>
      </c>
      <c r="S49" s="15">
        <f t="shared" si="1"/>
        <v>0.20254166666666659</v>
      </c>
      <c r="T49" s="14">
        <v>1.5640000000000001</v>
      </c>
      <c r="U49" s="31">
        <f t="shared" si="2"/>
        <v>0.8408602150537634</v>
      </c>
      <c r="V49" s="1"/>
      <c r="W49" s="1"/>
      <c r="X49" s="1"/>
      <c r="Y49" s="1"/>
    </row>
    <row r="50" spans="1:25" ht="12.75" customHeight="1" x14ac:dyDescent="0.2">
      <c r="A50" s="16"/>
      <c r="B50" s="12" t="s">
        <v>67</v>
      </c>
      <c r="C50" s="13">
        <v>44467.880969849539</v>
      </c>
      <c r="D50" s="14">
        <v>-94.132999999999996</v>
      </c>
      <c r="E50" s="14">
        <v>91.662999999999997</v>
      </c>
      <c r="F50" s="14">
        <v>26.355</v>
      </c>
      <c r="G50" s="14">
        <v>-51.493000000000002</v>
      </c>
      <c r="H50" s="14">
        <v>48.634999999999998</v>
      </c>
      <c r="I50" s="14">
        <v>14.782</v>
      </c>
      <c r="J50" s="14">
        <v>0.188</v>
      </c>
      <c r="K50" s="15">
        <f t="shared" si="0"/>
        <v>0.2013958333333333</v>
      </c>
      <c r="L50" s="14">
        <v>-63.969000000000001</v>
      </c>
      <c r="M50" s="14">
        <v>60.63</v>
      </c>
      <c r="N50" s="14">
        <v>21.817</v>
      </c>
      <c r="O50" s="14">
        <v>-35.097000000000001</v>
      </c>
      <c r="P50" s="14">
        <v>38.850999999999999</v>
      </c>
      <c r="Q50" s="14">
        <v>12.566000000000001</v>
      </c>
      <c r="R50" s="14">
        <v>0.2</v>
      </c>
      <c r="S50" s="15">
        <f t="shared" si="1"/>
        <v>0.20254166666666659</v>
      </c>
      <c r="T50" s="14" t="s">
        <v>26</v>
      </c>
      <c r="U50" s="31" t="e">
        <f t="shared" si="2"/>
        <v>#VALUE!</v>
      </c>
      <c r="V50" s="1"/>
      <c r="W50" s="1"/>
      <c r="X50" s="1"/>
      <c r="Y50" s="1"/>
    </row>
    <row r="51" spans="1:25" ht="12.75" customHeight="1" x14ac:dyDescent="0.2">
      <c r="A51" s="16"/>
      <c r="B51" s="12" t="s">
        <v>68</v>
      </c>
      <c r="C51" s="13">
        <v>44467.901803125002</v>
      </c>
      <c r="D51" s="14">
        <v>-96.921000000000006</v>
      </c>
      <c r="E51" s="14">
        <v>89.754999999999995</v>
      </c>
      <c r="F51" s="14">
        <v>24.94</v>
      </c>
      <c r="G51" s="14">
        <v>-39.213999999999999</v>
      </c>
      <c r="H51" s="14">
        <v>51.448</v>
      </c>
      <c r="I51" s="14">
        <v>14.221</v>
      </c>
      <c r="J51" s="14">
        <v>0.188</v>
      </c>
      <c r="K51" s="15">
        <f t="shared" si="0"/>
        <v>0.2013958333333333</v>
      </c>
      <c r="L51" s="14">
        <v>-72.959000000000003</v>
      </c>
      <c r="M51" s="14">
        <v>73.852000000000004</v>
      </c>
      <c r="N51" s="14">
        <v>21.670999999999999</v>
      </c>
      <c r="O51" s="14">
        <v>-41.295999999999999</v>
      </c>
      <c r="P51" s="14">
        <v>39.098999999999997</v>
      </c>
      <c r="Q51" s="14">
        <v>12.436</v>
      </c>
      <c r="R51" s="14">
        <v>0.188</v>
      </c>
      <c r="S51" s="15">
        <f t="shared" si="1"/>
        <v>0.20254166666666659</v>
      </c>
      <c r="T51" s="14">
        <v>0.58599999999999997</v>
      </c>
      <c r="U51" s="31">
        <f t="shared" si="2"/>
        <v>0.31505376344086017</v>
      </c>
      <c r="V51" s="1"/>
      <c r="W51" s="1"/>
      <c r="X51" s="1"/>
      <c r="Y51" s="1"/>
    </row>
    <row r="52" spans="1:25" ht="12.75" customHeight="1" x14ac:dyDescent="0.2">
      <c r="A52" s="16"/>
      <c r="B52" s="12" t="s">
        <v>69</v>
      </c>
      <c r="C52" s="13">
        <v>44467.922636400464</v>
      </c>
      <c r="D52" s="14">
        <v>-85.885999999999996</v>
      </c>
      <c r="E52" s="14">
        <v>100.694</v>
      </c>
      <c r="F52" s="14">
        <v>25.18</v>
      </c>
      <c r="G52" s="14">
        <v>-49.465000000000003</v>
      </c>
      <c r="H52" s="14">
        <v>47.613</v>
      </c>
      <c r="I52" s="14">
        <v>14.417</v>
      </c>
      <c r="J52" s="14">
        <v>0.188</v>
      </c>
      <c r="K52" s="15">
        <f t="shared" si="0"/>
        <v>0.2013958333333333</v>
      </c>
      <c r="L52" s="14">
        <v>-64.352999999999994</v>
      </c>
      <c r="M52" s="14">
        <v>69.477000000000004</v>
      </c>
      <c r="N52" s="14">
        <v>21.806999999999999</v>
      </c>
      <c r="O52" s="14">
        <v>-34.348999999999997</v>
      </c>
      <c r="P52" s="14">
        <v>39.177</v>
      </c>
      <c r="Q52" s="14">
        <v>12.417999999999999</v>
      </c>
      <c r="R52" s="14">
        <v>0.2</v>
      </c>
      <c r="S52" s="15">
        <f t="shared" si="1"/>
        <v>0.20254166666666659</v>
      </c>
      <c r="T52" s="14" t="s">
        <v>26</v>
      </c>
      <c r="U52" s="31" t="e">
        <f t="shared" si="2"/>
        <v>#VALUE!</v>
      </c>
      <c r="V52" s="1"/>
      <c r="W52" s="1"/>
      <c r="X52" s="1"/>
      <c r="Y52" s="19"/>
    </row>
    <row r="53" spans="1:25" ht="12.75" customHeight="1" x14ac:dyDescent="0.2">
      <c r="A53" s="16"/>
      <c r="B53" s="12" t="s">
        <v>70</v>
      </c>
      <c r="C53" s="13">
        <v>44467.943469675927</v>
      </c>
      <c r="D53" s="14">
        <v>-80.387</v>
      </c>
      <c r="E53" s="14">
        <v>90.045000000000002</v>
      </c>
      <c r="F53" s="14">
        <v>24.460999999999999</v>
      </c>
      <c r="G53" s="14">
        <v>-37.713000000000001</v>
      </c>
      <c r="H53" s="14">
        <v>46.072000000000003</v>
      </c>
      <c r="I53" s="14">
        <v>13.547000000000001</v>
      </c>
      <c r="J53" s="14">
        <v>0.2</v>
      </c>
      <c r="K53" s="15">
        <f t="shared" si="0"/>
        <v>0.2013958333333333</v>
      </c>
      <c r="L53" s="14">
        <v>-73.400999999999996</v>
      </c>
      <c r="M53" s="14">
        <v>70.742999999999995</v>
      </c>
      <c r="N53" s="14">
        <v>20.802</v>
      </c>
      <c r="O53" s="14">
        <v>-36.048999999999999</v>
      </c>
      <c r="P53" s="14">
        <v>37.899000000000001</v>
      </c>
      <c r="Q53" s="14">
        <v>11.648</v>
      </c>
      <c r="R53" s="14">
        <v>0.2</v>
      </c>
      <c r="S53" s="15">
        <f t="shared" si="1"/>
        <v>0.20254166666666659</v>
      </c>
      <c r="T53" s="14">
        <v>0.55700000000000005</v>
      </c>
      <c r="U53" s="31">
        <f t="shared" si="2"/>
        <v>0.29946236559139788</v>
      </c>
      <c r="V53" s="1"/>
      <c r="W53" s="1"/>
      <c r="X53" s="1"/>
      <c r="Y53" s="1"/>
    </row>
    <row r="54" spans="1:25" ht="12.75" customHeight="1" x14ac:dyDescent="0.2">
      <c r="A54" s="16"/>
      <c r="B54" s="12" t="s">
        <v>71</v>
      </c>
      <c r="C54" s="13">
        <v>44467.96430295139</v>
      </c>
      <c r="D54" s="14">
        <v>-78.691000000000003</v>
      </c>
      <c r="E54" s="14">
        <v>76.542000000000002</v>
      </c>
      <c r="F54" s="14">
        <v>24.547999999999998</v>
      </c>
      <c r="G54" s="14">
        <v>-34.927999999999997</v>
      </c>
      <c r="H54" s="14">
        <v>48.152000000000001</v>
      </c>
      <c r="I54" s="14">
        <v>13.301</v>
      </c>
      <c r="J54" s="14">
        <v>0.2</v>
      </c>
      <c r="K54" s="15">
        <f t="shared" si="0"/>
        <v>0.2013958333333333</v>
      </c>
      <c r="L54" s="14">
        <v>-69.456000000000003</v>
      </c>
      <c r="M54" s="14">
        <v>70.186000000000007</v>
      </c>
      <c r="N54" s="14">
        <v>20.602</v>
      </c>
      <c r="O54" s="14">
        <v>-36.167999999999999</v>
      </c>
      <c r="P54" s="14">
        <v>34.137</v>
      </c>
      <c r="Q54" s="14">
        <v>11.282999999999999</v>
      </c>
      <c r="R54" s="14">
        <v>0.2</v>
      </c>
      <c r="S54" s="15">
        <f t="shared" si="1"/>
        <v>0.20254166666666659</v>
      </c>
      <c r="T54" s="14" t="s">
        <v>26</v>
      </c>
      <c r="U54" s="31" t="e">
        <f t="shared" si="2"/>
        <v>#VALUE!</v>
      </c>
      <c r="V54" s="1"/>
      <c r="W54" s="1"/>
      <c r="X54" s="1"/>
      <c r="Y54" s="1"/>
    </row>
    <row r="55" spans="1:25" ht="12.75" customHeight="1" x14ac:dyDescent="0.2">
      <c r="A55" s="16"/>
      <c r="B55" s="12" t="s">
        <v>72</v>
      </c>
      <c r="C55" s="13">
        <v>44467.985136226853</v>
      </c>
      <c r="D55" s="14">
        <v>-77.341999999999999</v>
      </c>
      <c r="E55" s="14">
        <v>79.215999999999994</v>
      </c>
      <c r="F55" s="14">
        <v>22.966999999999999</v>
      </c>
      <c r="G55" s="14">
        <v>-42.23</v>
      </c>
      <c r="H55" s="14">
        <v>46.886000000000003</v>
      </c>
      <c r="I55" s="14">
        <v>13.164999999999999</v>
      </c>
      <c r="J55" s="14">
        <v>0.188</v>
      </c>
      <c r="K55" s="15">
        <f t="shared" si="0"/>
        <v>0.2013958333333333</v>
      </c>
      <c r="L55" s="14">
        <v>-66.679000000000002</v>
      </c>
      <c r="M55" s="14">
        <v>74.703999999999994</v>
      </c>
      <c r="N55" s="14">
        <v>20.742000000000001</v>
      </c>
      <c r="O55" s="14">
        <v>-37.640999999999998</v>
      </c>
      <c r="P55" s="14">
        <v>35.646999999999998</v>
      </c>
      <c r="Q55" s="14">
        <v>11.76</v>
      </c>
      <c r="R55" s="14">
        <v>0.2</v>
      </c>
      <c r="S55" s="15">
        <f t="shared" si="1"/>
        <v>0.20254166666666659</v>
      </c>
      <c r="T55" s="14">
        <v>2.3490000000000002</v>
      </c>
      <c r="U55" s="31">
        <f t="shared" si="2"/>
        <v>1.2629032258064516</v>
      </c>
      <c r="V55" s="1"/>
      <c r="W55" s="1"/>
      <c r="X55" s="1"/>
      <c r="Y55" s="1"/>
    </row>
    <row r="56" spans="1:25" ht="12.75" customHeight="1" x14ac:dyDescent="0.2">
      <c r="A56" s="20">
        <v>2</v>
      </c>
      <c r="B56" s="21" t="s">
        <v>73</v>
      </c>
      <c r="C56" s="13">
        <v>44468.005969502316</v>
      </c>
      <c r="D56" s="22">
        <v>-91.012</v>
      </c>
      <c r="E56" s="22">
        <v>106.67400000000001</v>
      </c>
      <c r="F56" s="22">
        <v>24.725000000000001</v>
      </c>
      <c r="G56" s="22">
        <v>-52.8</v>
      </c>
      <c r="H56" s="22">
        <v>43.976999999999997</v>
      </c>
      <c r="I56" s="22">
        <v>14.04</v>
      </c>
      <c r="J56" s="22">
        <v>0.188</v>
      </c>
      <c r="K56" s="23">
        <f>AVERAGE(J56:J103)</f>
        <v>0.19568749999999999</v>
      </c>
      <c r="L56" s="22">
        <v>-73.347999999999999</v>
      </c>
      <c r="M56" s="22">
        <v>72.760000000000005</v>
      </c>
      <c r="N56" s="22">
        <v>21.001000000000001</v>
      </c>
      <c r="O56" s="22">
        <v>-40.154000000000003</v>
      </c>
      <c r="P56" s="22">
        <v>34.173000000000002</v>
      </c>
      <c r="Q56" s="22">
        <v>12.073</v>
      </c>
      <c r="R56" s="22">
        <v>0.2</v>
      </c>
      <c r="S56" s="23">
        <f>AVERAGE(R56:R103)</f>
        <v>0.20379166666666657</v>
      </c>
      <c r="T56" s="22" t="s">
        <v>26</v>
      </c>
      <c r="U56" s="31" t="e">
        <f t="shared" si="2"/>
        <v>#VALUE!</v>
      </c>
      <c r="V56" s="24"/>
      <c r="W56" s="24"/>
      <c r="X56" s="24"/>
      <c r="Y56" s="24"/>
    </row>
    <row r="57" spans="1:25" ht="12.75" customHeight="1" x14ac:dyDescent="0.2">
      <c r="A57" s="16"/>
      <c r="B57" s="21" t="s">
        <v>74</v>
      </c>
      <c r="C57" s="13">
        <v>44468.026802777778</v>
      </c>
      <c r="D57" s="22">
        <v>-77.185000000000002</v>
      </c>
      <c r="E57" s="22">
        <v>82.712999999999994</v>
      </c>
      <c r="F57" s="22">
        <v>23.082999999999998</v>
      </c>
      <c r="G57" s="22">
        <v>-39.012</v>
      </c>
      <c r="H57" s="22">
        <v>44.378999999999998</v>
      </c>
      <c r="I57" s="22">
        <v>13.044</v>
      </c>
      <c r="J57" s="22">
        <v>0.2</v>
      </c>
      <c r="K57" s="23">
        <f t="shared" ref="K57:K103" si="3">K56</f>
        <v>0.19568749999999999</v>
      </c>
      <c r="L57" s="22">
        <v>-70.578999999999994</v>
      </c>
      <c r="M57" s="22">
        <v>70</v>
      </c>
      <c r="N57" s="22">
        <v>20.553000000000001</v>
      </c>
      <c r="O57" s="22">
        <v>-34.21</v>
      </c>
      <c r="P57" s="22">
        <v>39.808</v>
      </c>
      <c r="Q57" s="22">
        <v>11.824</v>
      </c>
      <c r="R57" s="22">
        <v>0.2</v>
      </c>
      <c r="S57" s="23">
        <f t="shared" ref="S57:S103" si="4">S56</f>
        <v>0.20379166666666657</v>
      </c>
      <c r="T57" s="22">
        <v>2.8149999999999999</v>
      </c>
      <c r="U57" s="31">
        <f t="shared" si="2"/>
        <v>1.5134408602150538</v>
      </c>
      <c r="V57" s="24"/>
      <c r="W57" s="24"/>
      <c r="X57" s="24"/>
      <c r="Y57" s="24"/>
    </row>
    <row r="58" spans="1:25" ht="12.75" customHeight="1" x14ac:dyDescent="0.2">
      <c r="A58" s="16"/>
      <c r="B58" s="21" t="s">
        <v>75</v>
      </c>
      <c r="C58" s="13">
        <v>44468.047636053241</v>
      </c>
      <c r="D58" s="22">
        <v>-79.066999999999993</v>
      </c>
      <c r="E58" s="22">
        <v>85.872</v>
      </c>
      <c r="F58" s="22">
        <v>23.515999999999998</v>
      </c>
      <c r="G58" s="22">
        <v>-42.475000000000001</v>
      </c>
      <c r="H58" s="22">
        <v>40.305</v>
      </c>
      <c r="I58" s="22">
        <v>13.353999999999999</v>
      </c>
      <c r="J58" s="22">
        <v>0.188</v>
      </c>
      <c r="K58" s="23">
        <f t="shared" si="3"/>
        <v>0.19568749999999999</v>
      </c>
      <c r="L58" s="22">
        <v>-68.787000000000006</v>
      </c>
      <c r="M58" s="22">
        <v>86.44</v>
      </c>
      <c r="N58" s="22">
        <v>20.399999999999999</v>
      </c>
      <c r="O58" s="22">
        <v>-40.097000000000001</v>
      </c>
      <c r="P58" s="22">
        <v>39.478000000000002</v>
      </c>
      <c r="Q58" s="22">
        <v>11.772</v>
      </c>
      <c r="R58" s="22">
        <v>0.2</v>
      </c>
      <c r="S58" s="23">
        <f t="shared" si="4"/>
        <v>0.20379166666666657</v>
      </c>
      <c r="T58" s="22" t="s">
        <v>26</v>
      </c>
      <c r="U58" s="31" t="e">
        <f t="shared" si="2"/>
        <v>#VALUE!</v>
      </c>
      <c r="V58" s="24"/>
      <c r="W58" s="24"/>
      <c r="X58" s="24"/>
      <c r="Y58" s="24"/>
    </row>
    <row r="59" spans="1:25" ht="12.75" customHeight="1" x14ac:dyDescent="0.2">
      <c r="A59" s="16"/>
      <c r="B59" s="21" t="s">
        <v>76</v>
      </c>
      <c r="C59" s="13">
        <v>44468.068469328704</v>
      </c>
      <c r="D59" s="22">
        <v>-89.385999999999996</v>
      </c>
      <c r="E59" s="22">
        <v>90.578000000000003</v>
      </c>
      <c r="F59" s="22">
        <v>23.768999999999998</v>
      </c>
      <c r="G59" s="22">
        <v>-43.162999999999997</v>
      </c>
      <c r="H59" s="22">
        <v>42.256999999999998</v>
      </c>
      <c r="I59" s="22">
        <v>13.521000000000001</v>
      </c>
      <c r="J59" s="22">
        <v>0.188</v>
      </c>
      <c r="K59" s="23">
        <f t="shared" si="3"/>
        <v>0.19568749999999999</v>
      </c>
      <c r="L59" s="22">
        <v>-91.406000000000006</v>
      </c>
      <c r="M59" s="22">
        <v>94.817999999999998</v>
      </c>
      <c r="N59" s="22">
        <v>20.556000000000001</v>
      </c>
      <c r="O59" s="22">
        <v>-51.786000000000001</v>
      </c>
      <c r="P59" s="22">
        <v>45.22</v>
      </c>
      <c r="Q59" s="22">
        <v>12.061</v>
      </c>
      <c r="R59" s="22">
        <v>0.188</v>
      </c>
      <c r="S59" s="23">
        <f t="shared" si="4"/>
        <v>0.20379166666666657</v>
      </c>
      <c r="T59" s="22">
        <v>0.60799999999999998</v>
      </c>
      <c r="U59" s="31">
        <f t="shared" si="2"/>
        <v>0.32688172043010749</v>
      </c>
      <c r="V59" s="24"/>
      <c r="W59" s="24"/>
      <c r="X59" s="24"/>
      <c r="Y59" s="24"/>
    </row>
    <row r="60" spans="1:25" ht="12.75" customHeight="1" x14ac:dyDescent="0.2">
      <c r="A60" s="16"/>
      <c r="B60" s="21" t="s">
        <v>77</v>
      </c>
      <c r="C60" s="13">
        <v>44468.089302604167</v>
      </c>
      <c r="D60" s="22">
        <v>-93.3</v>
      </c>
      <c r="E60" s="22">
        <v>87.51</v>
      </c>
      <c r="F60" s="22">
        <v>24.125</v>
      </c>
      <c r="G60" s="22">
        <v>-41.963000000000001</v>
      </c>
      <c r="H60" s="22">
        <v>54.142000000000003</v>
      </c>
      <c r="I60" s="22">
        <v>14.02</v>
      </c>
      <c r="J60" s="22">
        <v>0.188</v>
      </c>
      <c r="K60" s="23">
        <f t="shared" si="3"/>
        <v>0.19568749999999999</v>
      </c>
      <c r="L60" s="22">
        <v>-72.183000000000007</v>
      </c>
      <c r="M60" s="22">
        <v>74.408000000000001</v>
      </c>
      <c r="N60" s="22">
        <v>21.46</v>
      </c>
      <c r="O60" s="22">
        <v>-38.139000000000003</v>
      </c>
      <c r="P60" s="22">
        <v>38.399000000000001</v>
      </c>
      <c r="Q60" s="22">
        <v>12.488</v>
      </c>
      <c r="R60" s="22">
        <v>0.188</v>
      </c>
      <c r="S60" s="23">
        <f t="shared" si="4"/>
        <v>0.20379166666666657</v>
      </c>
      <c r="T60" s="22" t="s">
        <v>26</v>
      </c>
      <c r="U60" s="31" t="e">
        <f t="shared" si="2"/>
        <v>#VALUE!</v>
      </c>
      <c r="V60" s="24"/>
      <c r="W60" s="24"/>
      <c r="X60" s="24"/>
      <c r="Y60" s="24"/>
    </row>
    <row r="61" spans="1:25" ht="12.75" customHeight="1" x14ac:dyDescent="0.2">
      <c r="A61" s="16"/>
      <c r="B61" s="21" t="s">
        <v>78</v>
      </c>
      <c r="C61" s="13">
        <v>44468.11013587963</v>
      </c>
      <c r="D61" s="22">
        <v>-84.542000000000002</v>
      </c>
      <c r="E61" s="22">
        <v>78.713999999999999</v>
      </c>
      <c r="F61" s="22">
        <v>22.853999999999999</v>
      </c>
      <c r="G61" s="22">
        <v>-30.550999999999998</v>
      </c>
      <c r="H61" s="22">
        <v>59.076000000000001</v>
      </c>
      <c r="I61" s="22">
        <v>13.365</v>
      </c>
      <c r="J61" s="22">
        <v>0.188</v>
      </c>
      <c r="K61" s="23">
        <f t="shared" si="3"/>
        <v>0.19568749999999999</v>
      </c>
      <c r="L61" s="22">
        <v>-71.929000000000002</v>
      </c>
      <c r="M61" s="22">
        <v>63.292999999999999</v>
      </c>
      <c r="N61" s="22">
        <v>20.222999999999999</v>
      </c>
      <c r="O61" s="22">
        <v>-37.700000000000003</v>
      </c>
      <c r="P61" s="22">
        <v>36.326999999999998</v>
      </c>
      <c r="Q61" s="22">
        <v>11.95</v>
      </c>
      <c r="R61" s="22">
        <v>0.188</v>
      </c>
      <c r="S61" s="23">
        <f t="shared" si="4"/>
        <v>0.20379166666666657</v>
      </c>
      <c r="T61" s="22">
        <v>0.622</v>
      </c>
      <c r="U61" s="31">
        <f t="shared" si="2"/>
        <v>0.33440860215053764</v>
      </c>
      <c r="V61" s="24"/>
      <c r="W61" s="24"/>
      <c r="X61" s="24"/>
      <c r="Y61" s="24"/>
    </row>
    <row r="62" spans="1:25" ht="12.75" customHeight="1" x14ac:dyDescent="0.2">
      <c r="A62" s="16"/>
      <c r="B62" s="21" t="s">
        <v>79</v>
      </c>
      <c r="C62" s="13">
        <v>44468.130969155092</v>
      </c>
      <c r="D62" s="22">
        <v>-91.867000000000004</v>
      </c>
      <c r="E62" s="22">
        <v>87.35</v>
      </c>
      <c r="F62" s="22">
        <v>22.181999999999999</v>
      </c>
      <c r="G62" s="22">
        <v>-44.121000000000002</v>
      </c>
      <c r="H62" s="22">
        <v>45.095999999999997</v>
      </c>
      <c r="I62" s="22">
        <v>12.44</v>
      </c>
      <c r="J62" s="22">
        <v>0.2</v>
      </c>
      <c r="K62" s="23">
        <f t="shared" si="3"/>
        <v>0.19568749999999999</v>
      </c>
      <c r="L62" s="22">
        <v>-72.013000000000005</v>
      </c>
      <c r="M62" s="22">
        <v>71.935000000000002</v>
      </c>
      <c r="N62" s="22">
        <v>19.452999999999999</v>
      </c>
      <c r="O62" s="22">
        <v>-32.25</v>
      </c>
      <c r="P62" s="22">
        <v>40.201999999999998</v>
      </c>
      <c r="Q62" s="22">
        <v>11.425000000000001</v>
      </c>
      <c r="R62" s="22">
        <v>0.2</v>
      </c>
      <c r="S62" s="23">
        <f t="shared" si="4"/>
        <v>0.20379166666666657</v>
      </c>
      <c r="T62" s="22" t="s">
        <v>26</v>
      </c>
      <c r="U62" s="31" t="e">
        <f t="shared" si="2"/>
        <v>#VALUE!</v>
      </c>
      <c r="V62" s="24"/>
      <c r="W62" s="24"/>
      <c r="X62" s="24"/>
      <c r="Y62" s="24"/>
    </row>
    <row r="63" spans="1:25" ht="12.75" customHeight="1" x14ac:dyDescent="0.2">
      <c r="A63" s="16"/>
      <c r="B63" s="21" t="s">
        <v>80</v>
      </c>
      <c r="C63" s="13">
        <v>44468.151802430555</v>
      </c>
      <c r="D63" s="22">
        <v>-85.65</v>
      </c>
      <c r="E63" s="22">
        <v>83.435000000000002</v>
      </c>
      <c r="F63" s="22">
        <v>23.074000000000002</v>
      </c>
      <c r="G63" s="22">
        <v>-44.209000000000003</v>
      </c>
      <c r="H63" s="22">
        <v>45.359000000000002</v>
      </c>
      <c r="I63" s="22">
        <v>13.412000000000001</v>
      </c>
      <c r="J63" s="22">
        <v>0.188</v>
      </c>
      <c r="K63" s="23">
        <f t="shared" si="3"/>
        <v>0.19568749999999999</v>
      </c>
      <c r="L63" s="22">
        <v>-60.517000000000003</v>
      </c>
      <c r="M63" s="22">
        <v>71.888000000000005</v>
      </c>
      <c r="N63" s="22">
        <v>19.690999999999999</v>
      </c>
      <c r="O63" s="22">
        <v>-30.925999999999998</v>
      </c>
      <c r="P63" s="22">
        <v>42.734000000000002</v>
      </c>
      <c r="Q63" s="22">
        <v>11.619</v>
      </c>
      <c r="R63" s="22">
        <v>0.188</v>
      </c>
      <c r="S63" s="23">
        <f t="shared" si="4"/>
        <v>0.20379166666666657</v>
      </c>
      <c r="T63" s="22">
        <v>2.282</v>
      </c>
      <c r="U63" s="31">
        <f t="shared" si="2"/>
        <v>1.2268817204301075</v>
      </c>
      <c r="V63" s="24"/>
      <c r="W63" s="24"/>
      <c r="X63" s="24"/>
      <c r="Y63" s="24"/>
    </row>
    <row r="64" spans="1:25" ht="12.75" customHeight="1" x14ac:dyDescent="0.2">
      <c r="A64" s="16"/>
      <c r="B64" s="21" t="s">
        <v>81</v>
      </c>
      <c r="C64" s="13">
        <v>44468.172635706018</v>
      </c>
      <c r="D64" s="22">
        <v>-90.173000000000002</v>
      </c>
      <c r="E64" s="22">
        <v>88.066999999999993</v>
      </c>
      <c r="F64" s="22">
        <v>23.414000000000001</v>
      </c>
      <c r="G64" s="22">
        <v>-40.347000000000001</v>
      </c>
      <c r="H64" s="22">
        <v>57.758000000000003</v>
      </c>
      <c r="I64" s="22">
        <v>13.843</v>
      </c>
      <c r="J64" s="22">
        <v>0.188</v>
      </c>
      <c r="K64" s="23">
        <f t="shared" si="3"/>
        <v>0.19568749999999999</v>
      </c>
      <c r="L64" s="22">
        <v>-76.111999999999995</v>
      </c>
      <c r="M64" s="22">
        <v>68.340999999999994</v>
      </c>
      <c r="N64" s="22">
        <v>21.373000000000001</v>
      </c>
      <c r="O64" s="22">
        <v>-37.912999999999997</v>
      </c>
      <c r="P64" s="22">
        <v>38.51</v>
      </c>
      <c r="Q64" s="22">
        <v>12.565</v>
      </c>
      <c r="R64" s="22">
        <v>0.188</v>
      </c>
      <c r="S64" s="23">
        <f t="shared" si="4"/>
        <v>0.20379166666666657</v>
      </c>
      <c r="T64" s="22" t="s">
        <v>26</v>
      </c>
      <c r="U64" s="31" t="e">
        <f t="shared" si="2"/>
        <v>#VALUE!</v>
      </c>
      <c r="V64" s="24"/>
      <c r="W64" s="24"/>
      <c r="X64" s="24"/>
      <c r="Y64" s="24"/>
    </row>
    <row r="65" spans="1:42" ht="12.75" customHeight="1" x14ac:dyDescent="0.2">
      <c r="A65" s="16"/>
      <c r="B65" s="21" t="s">
        <v>82</v>
      </c>
      <c r="C65" s="13">
        <v>44468.193468981481</v>
      </c>
      <c r="D65" s="22">
        <v>-77.284999999999997</v>
      </c>
      <c r="E65" s="22">
        <v>77.298000000000002</v>
      </c>
      <c r="F65" s="22">
        <v>21.457999999999998</v>
      </c>
      <c r="G65" s="22">
        <v>-35.040999999999997</v>
      </c>
      <c r="H65" s="22">
        <v>47.137999999999998</v>
      </c>
      <c r="I65" s="22">
        <v>12.185</v>
      </c>
      <c r="J65" s="22">
        <v>0.22500000000000001</v>
      </c>
      <c r="K65" s="23">
        <f t="shared" si="3"/>
        <v>0.19568749999999999</v>
      </c>
      <c r="L65" s="22">
        <v>-72.665999999999997</v>
      </c>
      <c r="M65" s="22">
        <v>71.721999999999994</v>
      </c>
      <c r="N65" s="22">
        <v>20.306999999999999</v>
      </c>
      <c r="O65" s="22">
        <v>-31.216999999999999</v>
      </c>
      <c r="P65" s="22">
        <v>43.45</v>
      </c>
      <c r="Q65" s="22">
        <v>11.638999999999999</v>
      </c>
      <c r="R65" s="22">
        <v>0.22500000000000001</v>
      </c>
      <c r="S65" s="23">
        <f t="shared" si="4"/>
        <v>0.20379166666666657</v>
      </c>
      <c r="T65" s="22">
        <v>0.57399999999999995</v>
      </c>
      <c r="U65" s="31">
        <f t="shared" si="2"/>
        <v>0.30860215053763435</v>
      </c>
      <c r="V65" s="24"/>
      <c r="W65" s="24"/>
      <c r="X65" s="24"/>
      <c r="Y65" s="24"/>
    </row>
    <row r="66" spans="1:42" ht="12.75" customHeight="1" x14ac:dyDescent="0.2">
      <c r="A66" s="16"/>
      <c r="B66" s="21" t="s">
        <v>83</v>
      </c>
      <c r="C66" s="13">
        <v>44468.214302256943</v>
      </c>
      <c r="D66" s="22">
        <v>-82.405000000000001</v>
      </c>
      <c r="E66" s="22">
        <v>79.995999999999995</v>
      </c>
      <c r="F66" s="22">
        <v>21.1</v>
      </c>
      <c r="G66" s="22">
        <v>-43.212000000000003</v>
      </c>
      <c r="H66" s="22">
        <v>37.573</v>
      </c>
      <c r="I66" s="22">
        <v>11.932</v>
      </c>
      <c r="J66" s="22">
        <v>0.22500000000000001</v>
      </c>
      <c r="K66" s="23">
        <f t="shared" si="3"/>
        <v>0.19568749999999999</v>
      </c>
      <c r="L66" s="22">
        <v>-82.176000000000002</v>
      </c>
      <c r="M66" s="22">
        <v>76.385000000000005</v>
      </c>
      <c r="N66" s="22">
        <v>20.588999999999999</v>
      </c>
      <c r="O66" s="22">
        <v>-33.325000000000003</v>
      </c>
      <c r="P66" s="22">
        <v>51.319000000000003</v>
      </c>
      <c r="Q66" s="22">
        <v>11.81</v>
      </c>
      <c r="R66" s="22">
        <v>0.2</v>
      </c>
      <c r="S66" s="23">
        <f t="shared" si="4"/>
        <v>0.20379166666666657</v>
      </c>
      <c r="T66" s="22" t="s">
        <v>26</v>
      </c>
      <c r="U66" s="31" t="e">
        <f t="shared" si="2"/>
        <v>#VALUE!</v>
      </c>
      <c r="V66" s="24"/>
      <c r="W66" s="24"/>
      <c r="X66" s="24"/>
      <c r="Y66" s="24"/>
    </row>
    <row r="67" spans="1:42" ht="12.75" customHeight="1" x14ac:dyDescent="0.2">
      <c r="A67" s="16"/>
      <c r="B67" s="21" t="s">
        <v>84</v>
      </c>
      <c r="C67" s="13">
        <v>44468.235135532406</v>
      </c>
      <c r="D67" s="22">
        <v>-70.742000000000004</v>
      </c>
      <c r="E67" s="22">
        <v>67.221000000000004</v>
      </c>
      <c r="F67" s="22">
        <v>21.140999999999998</v>
      </c>
      <c r="G67" s="22">
        <v>-36.512</v>
      </c>
      <c r="H67" s="22">
        <v>39.241999999999997</v>
      </c>
      <c r="I67" s="22">
        <v>12.105</v>
      </c>
      <c r="J67" s="22">
        <v>0.22500000000000001</v>
      </c>
      <c r="K67" s="23">
        <f t="shared" si="3"/>
        <v>0.19568749999999999</v>
      </c>
      <c r="L67" s="22">
        <v>-76.959999999999994</v>
      </c>
      <c r="M67" s="22">
        <v>83.956000000000003</v>
      </c>
      <c r="N67" s="22">
        <v>21.204000000000001</v>
      </c>
      <c r="O67" s="22">
        <v>-38.453000000000003</v>
      </c>
      <c r="P67" s="22">
        <v>38.512999999999998</v>
      </c>
      <c r="Q67" s="22">
        <v>11.83</v>
      </c>
      <c r="R67" s="22">
        <v>0.22500000000000001</v>
      </c>
      <c r="S67" s="23">
        <f t="shared" si="4"/>
        <v>0.20379166666666657</v>
      </c>
      <c r="T67" s="22">
        <v>2.194</v>
      </c>
      <c r="U67" s="31">
        <f t="shared" si="2"/>
        <v>1.1795698924731182</v>
      </c>
      <c r="V67" s="24"/>
      <c r="W67" s="24"/>
      <c r="X67" s="24"/>
      <c r="Y67" s="24"/>
    </row>
    <row r="68" spans="1:42" ht="12.75" customHeight="1" x14ac:dyDescent="0.2">
      <c r="A68" s="16"/>
      <c r="B68" s="21" t="s">
        <v>85</v>
      </c>
      <c r="C68" s="13">
        <v>44468.255968807869</v>
      </c>
      <c r="D68" s="22">
        <v>-88.95</v>
      </c>
      <c r="E68" s="22">
        <v>75.608999999999995</v>
      </c>
      <c r="F68" s="22">
        <v>22.411000000000001</v>
      </c>
      <c r="G68" s="22">
        <v>-41.219000000000001</v>
      </c>
      <c r="H68" s="22">
        <v>39.750999999999998</v>
      </c>
      <c r="I68" s="22">
        <v>12.378</v>
      </c>
      <c r="J68" s="22">
        <v>0.22500000000000001</v>
      </c>
      <c r="K68" s="23">
        <f t="shared" si="3"/>
        <v>0.19568749999999999</v>
      </c>
      <c r="L68" s="22">
        <v>-87.206000000000003</v>
      </c>
      <c r="M68" s="22">
        <v>95.007999999999996</v>
      </c>
      <c r="N68" s="22">
        <v>20.591999999999999</v>
      </c>
      <c r="O68" s="22">
        <v>-47.637</v>
      </c>
      <c r="P68" s="22">
        <v>42.146000000000001</v>
      </c>
      <c r="Q68" s="22">
        <v>11.173</v>
      </c>
      <c r="R68" s="22">
        <v>0.2</v>
      </c>
      <c r="S68" s="23">
        <f t="shared" si="4"/>
        <v>0.20379166666666657</v>
      </c>
      <c r="T68" s="22" t="s">
        <v>26</v>
      </c>
      <c r="U68" s="31" t="e">
        <f t="shared" si="2"/>
        <v>#VALUE!</v>
      </c>
      <c r="V68" s="25"/>
      <c r="W68" s="25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</row>
    <row r="69" spans="1:42" ht="12.75" customHeight="1" x14ac:dyDescent="0.2">
      <c r="A69" s="16"/>
      <c r="B69" s="21" t="s">
        <v>86</v>
      </c>
      <c r="C69" s="13">
        <v>44468.276802083332</v>
      </c>
      <c r="D69" s="22">
        <v>-74.759</v>
      </c>
      <c r="E69" s="22">
        <v>75.007000000000005</v>
      </c>
      <c r="F69" s="22">
        <v>20.948</v>
      </c>
      <c r="G69" s="22">
        <v>-45.896000000000001</v>
      </c>
      <c r="H69" s="22">
        <v>38.72</v>
      </c>
      <c r="I69" s="22">
        <v>11.843999999999999</v>
      </c>
      <c r="J69" s="22">
        <v>0.188</v>
      </c>
      <c r="K69" s="23">
        <f t="shared" si="3"/>
        <v>0.19568749999999999</v>
      </c>
      <c r="L69" s="22">
        <v>-76.141000000000005</v>
      </c>
      <c r="M69" s="22">
        <v>74.340999999999994</v>
      </c>
      <c r="N69" s="22">
        <v>20.873999999999999</v>
      </c>
      <c r="O69" s="22">
        <v>-43.338999999999999</v>
      </c>
      <c r="P69" s="22">
        <v>30.710999999999999</v>
      </c>
      <c r="Q69" s="22">
        <v>11.496</v>
      </c>
      <c r="R69" s="22">
        <v>0.22500000000000001</v>
      </c>
      <c r="S69" s="23">
        <f t="shared" si="4"/>
        <v>0.20379166666666657</v>
      </c>
      <c r="T69" s="22">
        <v>0.58499999999999996</v>
      </c>
      <c r="U69" s="31">
        <f t="shared" si="2"/>
        <v>0.31451612903225801</v>
      </c>
      <c r="V69" s="25"/>
      <c r="W69" s="25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</row>
    <row r="70" spans="1:42" ht="12.75" customHeight="1" x14ac:dyDescent="0.2">
      <c r="A70" s="16"/>
      <c r="B70" s="21" t="s">
        <v>87</v>
      </c>
      <c r="C70" s="13">
        <v>44468.297635358795</v>
      </c>
      <c r="D70" s="22">
        <v>-86.003</v>
      </c>
      <c r="E70" s="22">
        <v>79.650000000000006</v>
      </c>
      <c r="F70" s="22">
        <v>21.693000000000001</v>
      </c>
      <c r="G70" s="22">
        <v>-51.651000000000003</v>
      </c>
      <c r="H70" s="22">
        <v>39.543999999999997</v>
      </c>
      <c r="I70" s="22">
        <v>12.455</v>
      </c>
      <c r="J70" s="22">
        <v>0.188</v>
      </c>
      <c r="K70" s="23">
        <f t="shared" si="3"/>
        <v>0.19568749999999999</v>
      </c>
      <c r="L70" s="22">
        <v>-73.590999999999994</v>
      </c>
      <c r="M70" s="22">
        <v>76.540999999999997</v>
      </c>
      <c r="N70" s="22">
        <v>21.984999999999999</v>
      </c>
      <c r="O70" s="22">
        <v>-39.125</v>
      </c>
      <c r="P70" s="22">
        <v>36.957999999999998</v>
      </c>
      <c r="Q70" s="22">
        <v>11.766999999999999</v>
      </c>
      <c r="R70" s="22">
        <v>0.22500000000000001</v>
      </c>
      <c r="S70" s="23">
        <f t="shared" si="4"/>
        <v>0.20379166666666657</v>
      </c>
      <c r="T70" s="22" t="s">
        <v>26</v>
      </c>
      <c r="U70" s="31" t="e">
        <f t="shared" si="2"/>
        <v>#VALUE!</v>
      </c>
      <c r="V70" s="25"/>
      <c r="W70" s="25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</row>
    <row r="71" spans="1:42" ht="12.75" customHeight="1" x14ac:dyDescent="0.2">
      <c r="A71" s="16"/>
      <c r="B71" s="21" t="s">
        <v>88</v>
      </c>
      <c r="C71" s="13">
        <v>44468.318468634257</v>
      </c>
      <c r="D71" s="22">
        <v>-74.509</v>
      </c>
      <c r="E71" s="22">
        <v>78.960999999999999</v>
      </c>
      <c r="F71" s="22">
        <v>21.148</v>
      </c>
      <c r="G71" s="22">
        <v>-36.411000000000001</v>
      </c>
      <c r="H71" s="22">
        <v>39.771999999999998</v>
      </c>
      <c r="I71" s="22">
        <v>12.013999999999999</v>
      </c>
      <c r="J71" s="22">
        <v>0.188</v>
      </c>
      <c r="K71" s="23">
        <f t="shared" si="3"/>
        <v>0.19568749999999999</v>
      </c>
      <c r="L71" s="22">
        <v>-78.003</v>
      </c>
      <c r="M71" s="22">
        <v>74.290999999999997</v>
      </c>
      <c r="N71" s="22">
        <v>21.122</v>
      </c>
      <c r="O71" s="22">
        <v>-36.066000000000003</v>
      </c>
      <c r="P71" s="22">
        <v>36.573</v>
      </c>
      <c r="Q71" s="22">
        <v>11.381</v>
      </c>
      <c r="R71" s="22">
        <v>0.22500000000000001</v>
      </c>
      <c r="S71" s="23">
        <f t="shared" si="4"/>
        <v>0.20379166666666657</v>
      </c>
      <c r="T71" s="22">
        <v>2.3130000000000002</v>
      </c>
      <c r="U71" s="31">
        <f t="shared" si="2"/>
        <v>1.2435483870967743</v>
      </c>
      <c r="V71" s="25"/>
      <c r="W71" s="25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</row>
    <row r="72" spans="1:42" ht="12.75" customHeight="1" x14ac:dyDescent="0.2">
      <c r="A72" s="16"/>
      <c r="B72" s="21" t="s">
        <v>89</v>
      </c>
      <c r="C72" s="13">
        <v>44468.33930190972</v>
      </c>
      <c r="D72" s="22">
        <v>-77.462999999999994</v>
      </c>
      <c r="E72" s="22">
        <v>79.442999999999998</v>
      </c>
      <c r="F72" s="22">
        <v>21.728999999999999</v>
      </c>
      <c r="G72" s="22">
        <v>-44.014000000000003</v>
      </c>
      <c r="H72" s="22">
        <v>41.515999999999998</v>
      </c>
      <c r="I72" s="22">
        <v>12.24</v>
      </c>
      <c r="J72" s="22">
        <v>0.188</v>
      </c>
      <c r="K72" s="23">
        <f t="shared" si="3"/>
        <v>0.19568749999999999</v>
      </c>
      <c r="L72" s="22">
        <v>-74.031999999999996</v>
      </c>
      <c r="M72" s="22">
        <v>72.192999999999998</v>
      </c>
      <c r="N72" s="22">
        <v>20.213000000000001</v>
      </c>
      <c r="O72" s="22">
        <v>-38.087000000000003</v>
      </c>
      <c r="P72" s="22">
        <v>33.298999999999999</v>
      </c>
      <c r="Q72" s="22">
        <v>11.234</v>
      </c>
      <c r="R72" s="22">
        <v>0.188</v>
      </c>
      <c r="S72" s="23">
        <f t="shared" si="4"/>
        <v>0.20379166666666657</v>
      </c>
      <c r="T72" s="22" t="s">
        <v>26</v>
      </c>
      <c r="U72" s="31" t="e">
        <f t="shared" si="2"/>
        <v>#VALUE!</v>
      </c>
      <c r="V72" s="25"/>
      <c r="W72" s="25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6"/>
    </row>
    <row r="73" spans="1:42" ht="12.75" customHeight="1" x14ac:dyDescent="0.2">
      <c r="A73" s="16"/>
      <c r="B73" s="21" t="s">
        <v>90</v>
      </c>
      <c r="C73" s="13">
        <v>44468.360135185183</v>
      </c>
      <c r="D73" s="22">
        <v>-71.36</v>
      </c>
      <c r="E73" s="22">
        <v>71.411000000000001</v>
      </c>
      <c r="F73" s="22">
        <v>19.545999999999999</v>
      </c>
      <c r="G73" s="22">
        <v>-41.625</v>
      </c>
      <c r="H73" s="22">
        <v>30.526</v>
      </c>
      <c r="I73" s="22">
        <v>11.238</v>
      </c>
      <c r="J73" s="22">
        <v>0.188</v>
      </c>
      <c r="K73" s="23">
        <f t="shared" si="3"/>
        <v>0.19568749999999999</v>
      </c>
      <c r="L73" s="22">
        <v>-71.215000000000003</v>
      </c>
      <c r="M73" s="22">
        <v>66.408000000000001</v>
      </c>
      <c r="N73" s="22">
        <v>19.983000000000001</v>
      </c>
      <c r="O73" s="22">
        <v>-35.238</v>
      </c>
      <c r="P73" s="22">
        <v>35.131</v>
      </c>
      <c r="Q73" s="22">
        <v>10.923999999999999</v>
      </c>
      <c r="R73" s="22">
        <v>0.2</v>
      </c>
      <c r="S73" s="23">
        <f t="shared" si="4"/>
        <v>0.20379166666666657</v>
      </c>
      <c r="T73" s="22">
        <v>2.1930000000000001</v>
      </c>
      <c r="U73" s="31">
        <f t="shared" ref="U73:U136" si="5">T73/1.86</f>
        <v>1.1790322580645161</v>
      </c>
      <c r="V73" s="25"/>
      <c r="W73" s="25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</row>
    <row r="74" spans="1:42" ht="12.75" customHeight="1" x14ac:dyDescent="0.2">
      <c r="A74" s="16"/>
      <c r="B74" s="21" t="s">
        <v>91</v>
      </c>
      <c r="C74" s="13">
        <v>44468.380968460646</v>
      </c>
      <c r="D74" s="22">
        <v>-74.316000000000003</v>
      </c>
      <c r="E74" s="22">
        <v>76.463999999999999</v>
      </c>
      <c r="F74" s="22">
        <v>21.968</v>
      </c>
      <c r="G74" s="22">
        <v>-38.106000000000002</v>
      </c>
      <c r="H74" s="22">
        <v>44.331000000000003</v>
      </c>
      <c r="I74" s="22">
        <v>12.923</v>
      </c>
      <c r="J74" s="22">
        <v>0.188</v>
      </c>
      <c r="K74" s="23">
        <f t="shared" si="3"/>
        <v>0.19568749999999999</v>
      </c>
      <c r="L74" s="22">
        <v>-71.271000000000001</v>
      </c>
      <c r="M74" s="22">
        <v>69.335999999999999</v>
      </c>
      <c r="N74" s="22">
        <v>21.934999999999999</v>
      </c>
      <c r="O74" s="22">
        <v>-36.802</v>
      </c>
      <c r="P74" s="22">
        <v>37.128</v>
      </c>
      <c r="Q74" s="22">
        <v>12.506</v>
      </c>
      <c r="R74" s="22">
        <v>0.2</v>
      </c>
      <c r="S74" s="23">
        <f t="shared" si="4"/>
        <v>0.20379166666666657</v>
      </c>
      <c r="T74" s="22" t="s">
        <v>26</v>
      </c>
      <c r="U74" s="31" t="e">
        <f t="shared" si="5"/>
        <v>#VALUE!</v>
      </c>
      <c r="V74" s="25"/>
      <c r="W74" s="25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</row>
    <row r="75" spans="1:42" ht="12.75" customHeight="1" x14ac:dyDescent="0.2">
      <c r="A75" s="16"/>
      <c r="B75" s="21" t="s">
        <v>92</v>
      </c>
      <c r="C75" s="13">
        <v>44468.401801736109</v>
      </c>
      <c r="D75" s="22">
        <v>-88.67</v>
      </c>
      <c r="E75" s="22">
        <v>77.367000000000004</v>
      </c>
      <c r="F75" s="22">
        <v>21.507999999999999</v>
      </c>
      <c r="G75" s="22">
        <v>-34.866999999999997</v>
      </c>
      <c r="H75" s="22">
        <v>42.348999999999997</v>
      </c>
      <c r="I75" s="22">
        <v>12.429</v>
      </c>
      <c r="J75" s="22">
        <v>0.188</v>
      </c>
      <c r="K75" s="23">
        <f t="shared" si="3"/>
        <v>0.19568749999999999</v>
      </c>
      <c r="L75" s="22">
        <v>-73.319999999999993</v>
      </c>
      <c r="M75" s="22">
        <v>82.283000000000001</v>
      </c>
      <c r="N75" s="22">
        <v>21.995999999999999</v>
      </c>
      <c r="O75" s="22">
        <v>-41.712000000000003</v>
      </c>
      <c r="P75" s="22">
        <v>40.018999999999998</v>
      </c>
      <c r="Q75" s="22">
        <v>12.491</v>
      </c>
      <c r="R75" s="22">
        <v>0.21299999999999999</v>
      </c>
      <c r="S75" s="23">
        <f t="shared" si="4"/>
        <v>0.20379166666666657</v>
      </c>
      <c r="T75" s="22">
        <v>2.3250000000000002</v>
      </c>
      <c r="U75" s="31">
        <f t="shared" si="5"/>
        <v>1.25</v>
      </c>
      <c r="V75" s="25"/>
      <c r="W75" s="25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</row>
    <row r="76" spans="1:42" ht="12.75" customHeight="1" x14ac:dyDescent="0.2">
      <c r="A76" s="16"/>
      <c r="B76" s="21" t="s">
        <v>93</v>
      </c>
      <c r="C76" s="13">
        <v>44468.422635011571</v>
      </c>
      <c r="D76" s="22">
        <v>-68.206000000000003</v>
      </c>
      <c r="E76" s="22">
        <v>65.257999999999996</v>
      </c>
      <c r="F76" s="22">
        <v>22.155999999999999</v>
      </c>
      <c r="G76" s="22">
        <v>-37.594000000000001</v>
      </c>
      <c r="H76" s="22">
        <v>40.802999999999997</v>
      </c>
      <c r="I76" s="22">
        <v>12.430999999999999</v>
      </c>
      <c r="J76" s="22">
        <v>0.22500000000000001</v>
      </c>
      <c r="K76" s="23">
        <f t="shared" si="3"/>
        <v>0.19568749999999999</v>
      </c>
      <c r="L76" s="22">
        <v>-67.382999999999996</v>
      </c>
      <c r="M76" s="22">
        <v>73.634</v>
      </c>
      <c r="N76" s="22">
        <v>21.675999999999998</v>
      </c>
      <c r="O76" s="22">
        <v>-35.752000000000002</v>
      </c>
      <c r="P76" s="22">
        <v>37.718000000000004</v>
      </c>
      <c r="Q76" s="22">
        <v>11.85</v>
      </c>
      <c r="R76" s="22">
        <v>0.2</v>
      </c>
      <c r="S76" s="23">
        <f t="shared" si="4"/>
        <v>0.20379166666666657</v>
      </c>
      <c r="T76" s="22" t="s">
        <v>26</v>
      </c>
      <c r="U76" s="31" t="e">
        <f t="shared" si="5"/>
        <v>#VALUE!</v>
      </c>
      <c r="V76" s="25"/>
      <c r="W76" s="25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</row>
    <row r="77" spans="1:42" ht="12.75" customHeight="1" x14ac:dyDescent="0.2">
      <c r="A77" s="16"/>
      <c r="B77" s="21" t="s">
        <v>94</v>
      </c>
      <c r="C77" s="13">
        <v>44468.443468287034</v>
      </c>
      <c r="D77" s="22">
        <v>-76.494</v>
      </c>
      <c r="E77" s="22">
        <v>83.257999999999996</v>
      </c>
      <c r="F77" s="22">
        <v>23.405999999999999</v>
      </c>
      <c r="G77" s="22">
        <v>-48.396999999999998</v>
      </c>
      <c r="H77" s="22">
        <v>34.417999999999999</v>
      </c>
      <c r="I77" s="22">
        <v>13.214</v>
      </c>
      <c r="J77" s="22">
        <v>0.22500000000000001</v>
      </c>
      <c r="K77" s="23">
        <f t="shared" si="3"/>
        <v>0.19568749999999999</v>
      </c>
      <c r="L77" s="22">
        <v>-87.647999999999996</v>
      </c>
      <c r="M77" s="22">
        <v>100.39700000000001</v>
      </c>
      <c r="N77" s="22">
        <v>24.335999999999999</v>
      </c>
      <c r="O77" s="22">
        <v>-57.142000000000003</v>
      </c>
      <c r="P77" s="22">
        <v>42.069000000000003</v>
      </c>
      <c r="Q77" s="22">
        <v>13.462</v>
      </c>
      <c r="R77" s="22">
        <v>0.22500000000000001</v>
      </c>
      <c r="S77" s="23">
        <f t="shared" si="4"/>
        <v>0.20379166666666657</v>
      </c>
      <c r="T77" s="22">
        <v>2.3740000000000001</v>
      </c>
      <c r="U77" s="31">
        <f t="shared" si="5"/>
        <v>1.2763440860215054</v>
      </c>
      <c r="V77" s="25"/>
      <c r="W77" s="25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</row>
    <row r="78" spans="1:42" ht="12.75" customHeight="1" x14ac:dyDescent="0.2">
      <c r="A78" s="16"/>
      <c r="B78" s="21" t="s">
        <v>95</v>
      </c>
      <c r="C78" s="13">
        <v>44468.464301562497</v>
      </c>
      <c r="D78" s="22">
        <v>-77.316000000000003</v>
      </c>
      <c r="E78" s="22">
        <v>85.722999999999999</v>
      </c>
      <c r="F78" s="22">
        <v>22.504999999999999</v>
      </c>
      <c r="G78" s="22">
        <v>-44.319000000000003</v>
      </c>
      <c r="H78" s="22">
        <v>40.515000000000001</v>
      </c>
      <c r="I78" s="22">
        <v>13.263999999999999</v>
      </c>
      <c r="J78" s="22">
        <v>0.22500000000000001</v>
      </c>
      <c r="K78" s="23">
        <f t="shared" si="3"/>
        <v>0.19568749999999999</v>
      </c>
      <c r="L78" s="22">
        <v>-70.27</v>
      </c>
      <c r="M78" s="22">
        <v>70.072000000000003</v>
      </c>
      <c r="N78" s="22">
        <v>21.946000000000002</v>
      </c>
      <c r="O78" s="22">
        <v>-32.624000000000002</v>
      </c>
      <c r="P78" s="22">
        <v>39.241999999999997</v>
      </c>
      <c r="Q78" s="22">
        <v>12.131</v>
      </c>
      <c r="R78" s="22">
        <v>0.22500000000000001</v>
      </c>
      <c r="S78" s="23">
        <f t="shared" si="4"/>
        <v>0.20379166666666657</v>
      </c>
      <c r="T78" s="22" t="s">
        <v>26</v>
      </c>
      <c r="U78" s="31" t="e">
        <f t="shared" si="5"/>
        <v>#VALUE!</v>
      </c>
      <c r="V78" s="25"/>
      <c r="W78" s="25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</row>
    <row r="79" spans="1:42" ht="12.75" customHeight="1" x14ac:dyDescent="0.2">
      <c r="A79" s="16"/>
      <c r="B79" s="21" t="s">
        <v>96</v>
      </c>
      <c r="C79" s="13">
        <v>44468.48513483796</v>
      </c>
      <c r="D79" s="22">
        <v>-84.86</v>
      </c>
      <c r="E79" s="22">
        <v>89.903999999999996</v>
      </c>
      <c r="F79" s="22">
        <v>24.03</v>
      </c>
      <c r="G79" s="22">
        <v>-44.792999999999999</v>
      </c>
      <c r="H79" s="22">
        <v>49.14</v>
      </c>
      <c r="I79" s="22">
        <v>13.071</v>
      </c>
      <c r="J79" s="22">
        <v>0.22500000000000001</v>
      </c>
      <c r="K79" s="23">
        <f t="shared" si="3"/>
        <v>0.19568749999999999</v>
      </c>
      <c r="L79" s="22">
        <v>-76.182000000000002</v>
      </c>
      <c r="M79" s="22">
        <v>81.388000000000005</v>
      </c>
      <c r="N79" s="22">
        <v>22.25</v>
      </c>
      <c r="O79" s="22">
        <v>-36.793999999999997</v>
      </c>
      <c r="P79" s="22">
        <v>47.337000000000003</v>
      </c>
      <c r="Q79" s="22">
        <v>12.086</v>
      </c>
      <c r="R79" s="22">
        <v>0.22500000000000001</v>
      </c>
      <c r="S79" s="23">
        <f t="shared" si="4"/>
        <v>0.20379166666666657</v>
      </c>
      <c r="T79" s="22">
        <v>2.3740000000000001</v>
      </c>
      <c r="U79" s="31">
        <f t="shared" si="5"/>
        <v>1.2763440860215054</v>
      </c>
      <c r="V79" s="25"/>
      <c r="W79" s="25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</row>
    <row r="80" spans="1:42" ht="12.75" customHeight="1" x14ac:dyDescent="0.2">
      <c r="A80" s="16"/>
      <c r="B80" s="21" t="s">
        <v>97</v>
      </c>
      <c r="C80" s="13">
        <v>44468.505968113423</v>
      </c>
      <c r="D80" s="22">
        <v>-87.483000000000004</v>
      </c>
      <c r="E80" s="22">
        <v>85.459000000000003</v>
      </c>
      <c r="F80" s="22">
        <v>24.588999999999999</v>
      </c>
      <c r="G80" s="22">
        <v>-40.762</v>
      </c>
      <c r="H80" s="22">
        <v>45.454000000000001</v>
      </c>
      <c r="I80" s="22">
        <v>13.180999999999999</v>
      </c>
      <c r="J80" s="22">
        <v>0.188</v>
      </c>
      <c r="K80" s="23">
        <f t="shared" si="3"/>
        <v>0.19568749999999999</v>
      </c>
      <c r="L80" s="22">
        <v>-72.295000000000002</v>
      </c>
      <c r="M80" s="22">
        <v>77.108999999999995</v>
      </c>
      <c r="N80" s="22">
        <v>22.314</v>
      </c>
      <c r="O80" s="22">
        <v>-39.19</v>
      </c>
      <c r="P80" s="22">
        <v>36.970999999999997</v>
      </c>
      <c r="Q80" s="22">
        <v>11.82</v>
      </c>
      <c r="R80" s="22">
        <v>0.188</v>
      </c>
      <c r="S80" s="23">
        <f t="shared" si="4"/>
        <v>0.20379166666666657</v>
      </c>
      <c r="T80" s="22" t="s">
        <v>26</v>
      </c>
      <c r="U80" s="31" t="e">
        <f t="shared" si="5"/>
        <v>#VALUE!</v>
      </c>
      <c r="V80" s="25"/>
      <c r="W80" s="25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</row>
    <row r="81" spans="1:42" ht="12.75" customHeight="1" x14ac:dyDescent="0.2">
      <c r="A81" s="16"/>
      <c r="B81" s="21" t="s">
        <v>98</v>
      </c>
      <c r="C81" s="13">
        <v>44468.526801388885</v>
      </c>
      <c r="D81" s="22">
        <v>-79.611999999999995</v>
      </c>
      <c r="E81" s="22">
        <v>80.727999999999994</v>
      </c>
      <c r="F81" s="22">
        <v>22.548999999999999</v>
      </c>
      <c r="G81" s="22">
        <v>-41.942999999999998</v>
      </c>
      <c r="H81" s="22">
        <v>38.567</v>
      </c>
      <c r="I81" s="22">
        <v>12.176</v>
      </c>
      <c r="J81" s="22">
        <v>0.22500000000000001</v>
      </c>
      <c r="K81" s="23">
        <f t="shared" si="3"/>
        <v>0.19568749999999999</v>
      </c>
      <c r="L81" s="22">
        <v>-63.045000000000002</v>
      </c>
      <c r="M81" s="22">
        <v>62.694000000000003</v>
      </c>
      <c r="N81" s="22">
        <v>20.382000000000001</v>
      </c>
      <c r="O81" s="22">
        <v>-38.594999999999999</v>
      </c>
      <c r="P81" s="22">
        <v>35.145000000000003</v>
      </c>
      <c r="Q81" s="22">
        <v>10.895</v>
      </c>
      <c r="R81" s="22">
        <v>0.2</v>
      </c>
      <c r="S81" s="23">
        <f t="shared" si="4"/>
        <v>0.20379166666666657</v>
      </c>
      <c r="T81" s="22">
        <v>1.5669999999999999</v>
      </c>
      <c r="U81" s="31">
        <f t="shared" si="5"/>
        <v>0.84247311827956983</v>
      </c>
      <c r="V81" s="25"/>
      <c r="W81" s="25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2.75" customHeight="1" x14ac:dyDescent="0.2">
      <c r="A82" s="16"/>
      <c r="B82" s="21" t="s">
        <v>99</v>
      </c>
      <c r="C82" s="13">
        <v>44468.547634664355</v>
      </c>
      <c r="D82" s="22">
        <v>-77.563999999999993</v>
      </c>
      <c r="E82" s="22">
        <v>74.861000000000004</v>
      </c>
      <c r="F82" s="22">
        <v>22.48</v>
      </c>
      <c r="G82" s="22">
        <v>-46.140999999999998</v>
      </c>
      <c r="H82" s="22">
        <v>40.03</v>
      </c>
      <c r="I82" s="22">
        <v>12.343</v>
      </c>
      <c r="J82" s="22">
        <v>0.188</v>
      </c>
      <c r="K82" s="23">
        <f t="shared" si="3"/>
        <v>0.19568749999999999</v>
      </c>
      <c r="L82" s="22">
        <v>-64.748000000000005</v>
      </c>
      <c r="M82" s="22">
        <v>71.290999999999997</v>
      </c>
      <c r="N82" s="22">
        <v>19.523</v>
      </c>
      <c r="O82" s="22">
        <v>-34.101999999999997</v>
      </c>
      <c r="P82" s="22">
        <v>35.213999999999999</v>
      </c>
      <c r="Q82" s="22">
        <v>10.754</v>
      </c>
      <c r="R82" s="22">
        <v>0.2</v>
      </c>
      <c r="S82" s="23">
        <f t="shared" si="4"/>
        <v>0.20379166666666657</v>
      </c>
      <c r="T82" s="22" t="s">
        <v>26</v>
      </c>
      <c r="U82" s="31" t="e">
        <f t="shared" si="5"/>
        <v>#VALUE!</v>
      </c>
      <c r="V82" s="25"/>
      <c r="W82" s="25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</row>
    <row r="83" spans="1:42" ht="12.75" customHeight="1" x14ac:dyDescent="0.2">
      <c r="A83" s="16"/>
      <c r="B83" s="21" t="s">
        <v>100</v>
      </c>
      <c r="C83" s="13">
        <v>44468.568467939818</v>
      </c>
      <c r="D83" s="22">
        <v>-80.409000000000006</v>
      </c>
      <c r="E83" s="22">
        <v>76.864999999999995</v>
      </c>
      <c r="F83" s="22">
        <v>21.707999999999998</v>
      </c>
      <c r="G83" s="22">
        <v>-41.587000000000003</v>
      </c>
      <c r="H83" s="22">
        <v>39.584000000000003</v>
      </c>
      <c r="I83" s="22">
        <v>12.031000000000001</v>
      </c>
      <c r="J83" s="22">
        <v>0.188</v>
      </c>
      <c r="K83" s="23">
        <f t="shared" si="3"/>
        <v>0.19568749999999999</v>
      </c>
      <c r="L83" s="22">
        <v>-69.421000000000006</v>
      </c>
      <c r="M83" s="22">
        <v>75.95</v>
      </c>
      <c r="N83" s="22">
        <v>19.149999999999999</v>
      </c>
      <c r="O83" s="22">
        <v>-37.363</v>
      </c>
      <c r="P83" s="22">
        <v>31.899000000000001</v>
      </c>
      <c r="Q83" s="22">
        <v>10.465</v>
      </c>
      <c r="R83" s="22">
        <v>0.188</v>
      </c>
      <c r="S83" s="23">
        <f t="shared" si="4"/>
        <v>0.20379166666666657</v>
      </c>
      <c r="T83" s="22">
        <v>0.54400000000000004</v>
      </c>
      <c r="U83" s="31">
        <f t="shared" si="5"/>
        <v>0.2924731182795699</v>
      </c>
      <c r="V83" s="25"/>
      <c r="W83" s="25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</row>
    <row r="84" spans="1:42" ht="12.75" customHeight="1" x14ac:dyDescent="0.2">
      <c r="A84" s="16"/>
      <c r="B84" s="21" t="s">
        <v>101</v>
      </c>
      <c r="C84" s="13">
        <v>44468.589301215281</v>
      </c>
      <c r="D84" s="22">
        <v>-89.441000000000003</v>
      </c>
      <c r="E84" s="22">
        <v>79.816999999999993</v>
      </c>
      <c r="F84" s="22">
        <v>21.702999999999999</v>
      </c>
      <c r="G84" s="22">
        <v>-37.74</v>
      </c>
      <c r="H84" s="22">
        <v>50.732999999999997</v>
      </c>
      <c r="I84" s="22">
        <v>12.131</v>
      </c>
      <c r="J84" s="22">
        <v>0.188</v>
      </c>
      <c r="K84" s="23">
        <f t="shared" si="3"/>
        <v>0.19568749999999999</v>
      </c>
      <c r="L84" s="22">
        <v>-68.509</v>
      </c>
      <c r="M84" s="22">
        <v>67.546000000000006</v>
      </c>
      <c r="N84" s="22">
        <v>19.45</v>
      </c>
      <c r="O84" s="22">
        <v>-33.131</v>
      </c>
      <c r="P84" s="22">
        <v>36.405000000000001</v>
      </c>
      <c r="Q84" s="22">
        <v>10.836</v>
      </c>
      <c r="R84" s="22">
        <v>0.188</v>
      </c>
      <c r="S84" s="23">
        <f t="shared" si="4"/>
        <v>0.20379166666666657</v>
      </c>
      <c r="T84" s="22" t="s">
        <v>26</v>
      </c>
      <c r="U84" s="31" t="e">
        <f t="shared" si="5"/>
        <v>#VALUE!</v>
      </c>
      <c r="V84" s="25"/>
      <c r="W84" s="25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</row>
    <row r="85" spans="1:42" ht="12.75" customHeight="1" x14ac:dyDescent="0.2">
      <c r="A85" s="16"/>
      <c r="B85" s="21" t="s">
        <v>102</v>
      </c>
      <c r="C85" s="13">
        <v>44468.610134490744</v>
      </c>
      <c r="D85" s="22">
        <v>-95.001999999999995</v>
      </c>
      <c r="E85" s="22">
        <v>91.346999999999994</v>
      </c>
      <c r="F85" s="22">
        <v>21.934000000000001</v>
      </c>
      <c r="G85" s="22">
        <v>-36.691000000000003</v>
      </c>
      <c r="H85" s="22">
        <v>54.112000000000002</v>
      </c>
      <c r="I85" s="22">
        <v>12.865</v>
      </c>
      <c r="J85" s="22">
        <v>0.188</v>
      </c>
      <c r="K85" s="23">
        <f t="shared" si="3"/>
        <v>0.19568749999999999</v>
      </c>
      <c r="L85" s="22">
        <v>-71.027000000000001</v>
      </c>
      <c r="M85" s="22">
        <v>77.108999999999995</v>
      </c>
      <c r="N85" s="22">
        <v>19.812000000000001</v>
      </c>
      <c r="O85" s="22">
        <v>-33.484000000000002</v>
      </c>
      <c r="P85" s="22">
        <v>40.792999999999999</v>
      </c>
      <c r="Q85" s="22">
        <v>11.52</v>
      </c>
      <c r="R85" s="22">
        <v>0.2</v>
      </c>
      <c r="S85" s="23">
        <f t="shared" si="4"/>
        <v>0.20379166666666657</v>
      </c>
      <c r="T85" s="22">
        <v>0.56299999999999994</v>
      </c>
      <c r="U85" s="31">
        <f t="shared" si="5"/>
        <v>0.30268817204301068</v>
      </c>
      <c r="V85" s="25"/>
      <c r="W85" s="25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</row>
    <row r="86" spans="1:42" ht="12.75" customHeight="1" x14ac:dyDescent="0.2">
      <c r="A86" s="16"/>
      <c r="B86" s="21" t="s">
        <v>103</v>
      </c>
      <c r="C86" s="13">
        <v>44468.630967766207</v>
      </c>
      <c r="D86" s="22">
        <v>-74.093000000000004</v>
      </c>
      <c r="E86" s="22">
        <v>68.218999999999994</v>
      </c>
      <c r="F86" s="22">
        <v>20.907</v>
      </c>
      <c r="G86" s="22">
        <v>-40.759</v>
      </c>
      <c r="H86" s="22">
        <v>30.712</v>
      </c>
      <c r="I86" s="22">
        <v>11.834</v>
      </c>
      <c r="J86" s="22">
        <v>0.188</v>
      </c>
      <c r="K86" s="23">
        <f t="shared" si="3"/>
        <v>0.19568749999999999</v>
      </c>
      <c r="L86" s="22">
        <v>-64.075000000000003</v>
      </c>
      <c r="M86" s="22">
        <v>70.659000000000006</v>
      </c>
      <c r="N86" s="22">
        <v>18.922999999999998</v>
      </c>
      <c r="O86" s="22">
        <v>-37.539000000000001</v>
      </c>
      <c r="P86" s="22">
        <v>36.097999999999999</v>
      </c>
      <c r="Q86" s="22">
        <v>10.367000000000001</v>
      </c>
      <c r="R86" s="22">
        <v>0.2</v>
      </c>
      <c r="S86" s="23">
        <f t="shared" si="4"/>
        <v>0.20379166666666657</v>
      </c>
      <c r="T86" s="22" t="s">
        <v>26</v>
      </c>
      <c r="U86" s="31" t="e">
        <f t="shared" si="5"/>
        <v>#VALUE!</v>
      </c>
      <c r="V86" s="25"/>
      <c r="W86" s="25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</row>
    <row r="87" spans="1:42" ht="12.75" customHeight="1" x14ac:dyDescent="0.2">
      <c r="A87" s="16"/>
      <c r="B87" s="21" t="s">
        <v>104</v>
      </c>
      <c r="C87" s="13">
        <v>44468.651801041669</v>
      </c>
      <c r="D87" s="22">
        <v>-75.091999999999999</v>
      </c>
      <c r="E87" s="22">
        <v>81.501000000000005</v>
      </c>
      <c r="F87" s="22">
        <v>20.454999999999998</v>
      </c>
      <c r="G87" s="22">
        <v>-44.332000000000001</v>
      </c>
      <c r="H87" s="22">
        <v>45.402999999999999</v>
      </c>
      <c r="I87" s="22">
        <v>11.666</v>
      </c>
      <c r="J87" s="22">
        <v>0.188</v>
      </c>
      <c r="K87" s="23">
        <f t="shared" si="3"/>
        <v>0.19568749999999999</v>
      </c>
      <c r="L87" s="22">
        <v>-64.311999999999998</v>
      </c>
      <c r="M87" s="22">
        <v>62.433</v>
      </c>
      <c r="N87" s="22">
        <v>18.398</v>
      </c>
      <c r="O87" s="22">
        <v>-35.155000000000001</v>
      </c>
      <c r="P87" s="22">
        <v>32.036000000000001</v>
      </c>
      <c r="Q87" s="22">
        <v>10.134</v>
      </c>
      <c r="R87" s="22">
        <v>0.22500000000000001</v>
      </c>
      <c r="S87" s="23">
        <f t="shared" si="4"/>
        <v>0.20379166666666657</v>
      </c>
      <c r="T87" s="22">
        <v>0.53200000000000003</v>
      </c>
      <c r="U87" s="31">
        <f t="shared" si="5"/>
        <v>0.28602150537634408</v>
      </c>
      <c r="V87" s="25"/>
      <c r="W87" s="25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</row>
    <row r="88" spans="1:42" ht="12.75" customHeight="1" x14ac:dyDescent="0.2">
      <c r="A88" s="16"/>
      <c r="B88" s="21" t="s">
        <v>105</v>
      </c>
      <c r="C88" s="13">
        <v>44468.672634317132</v>
      </c>
      <c r="D88" s="22">
        <v>-80.430999999999997</v>
      </c>
      <c r="E88" s="22">
        <v>78.165000000000006</v>
      </c>
      <c r="F88" s="22">
        <v>19.344000000000001</v>
      </c>
      <c r="G88" s="22">
        <v>-43.896999999999998</v>
      </c>
      <c r="H88" s="22">
        <v>38.18</v>
      </c>
      <c r="I88" s="22">
        <v>11.026</v>
      </c>
      <c r="J88" s="22">
        <v>0.188</v>
      </c>
      <c r="K88" s="23">
        <f t="shared" si="3"/>
        <v>0.19568749999999999</v>
      </c>
      <c r="L88" s="22">
        <v>-61.478999999999999</v>
      </c>
      <c r="M88" s="22">
        <v>58.401000000000003</v>
      </c>
      <c r="N88" s="22">
        <v>17.873999999999999</v>
      </c>
      <c r="O88" s="22">
        <v>-34.454999999999998</v>
      </c>
      <c r="P88" s="22">
        <v>28.587</v>
      </c>
      <c r="Q88" s="22">
        <v>10.113</v>
      </c>
      <c r="R88" s="22">
        <v>0.188</v>
      </c>
      <c r="S88" s="23">
        <f t="shared" si="4"/>
        <v>0.20379166666666657</v>
      </c>
      <c r="T88" s="22" t="s">
        <v>26</v>
      </c>
      <c r="U88" s="31" t="e">
        <f t="shared" si="5"/>
        <v>#VALUE!</v>
      </c>
      <c r="V88" s="25"/>
      <c r="W88" s="25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</row>
    <row r="89" spans="1:42" ht="12.75" customHeight="1" x14ac:dyDescent="0.2">
      <c r="A89" s="16"/>
      <c r="B89" s="21" t="s">
        <v>106</v>
      </c>
      <c r="C89" s="13">
        <v>44468.693467592595</v>
      </c>
      <c r="D89" s="22">
        <v>-74.858000000000004</v>
      </c>
      <c r="E89" s="22">
        <v>76.322000000000003</v>
      </c>
      <c r="F89" s="22">
        <v>20.533000000000001</v>
      </c>
      <c r="G89" s="22">
        <v>-41.543999999999997</v>
      </c>
      <c r="H89" s="22">
        <v>37.411000000000001</v>
      </c>
      <c r="I89" s="22">
        <v>11.861000000000001</v>
      </c>
      <c r="J89" s="22">
        <v>0.188</v>
      </c>
      <c r="K89" s="23">
        <f t="shared" si="3"/>
        <v>0.19568749999999999</v>
      </c>
      <c r="L89" s="22">
        <v>-78.227000000000004</v>
      </c>
      <c r="M89" s="22">
        <v>76.617000000000004</v>
      </c>
      <c r="N89" s="22">
        <v>18.529</v>
      </c>
      <c r="O89" s="22">
        <v>-38.722000000000001</v>
      </c>
      <c r="P89" s="22">
        <v>43.393999999999998</v>
      </c>
      <c r="Q89" s="22">
        <v>10.481</v>
      </c>
      <c r="R89" s="22">
        <v>0.188</v>
      </c>
      <c r="S89" s="23">
        <f t="shared" si="4"/>
        <v>0.20379166666666657</v>
      </c>
      <c r="T89" s="22">
        <v>0.54</v>
      </c>
      <c r="U89" s="31">
        <f t="shared" si="5"/>
        <v>0.29032258064516131</v>
      </c>
      <c r="V89" s="25"/>
      <c r="W89" s="25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</row>
    <row r="90" spans="1:42" ht="12.75" customHeight="1" x14ac:dyDescent="0.2">
      <c r="A90" s="16"/>
      <c r="B90" s="21" t="s">
        <v>107</v>
      </c>
      <c r="C90" s="13">
        <v>44468.714300868058</v>
      </c>
      <c r="D90" s="22">
        <v>-92.745999999999995</v>
      </c>
      <c r="E90" s="22">
        <v>77.477000000000004</v>
      </c>
      <c r="F90" s="22">
        <v>20.745000000000001</v>
      </c>
      <c r="G90" s="22">
        <v>-45.79</v>
      </c>
      <c r="H90" s="22">
        <v>44.698</v>
      </c>
      <c r="I90" s="22">
        <v>11.77</v>
      </c>
      <c r="J90" s="22">
        <v>0.188</v>
      </c>
      <c r="K90" s="23">
        <f t="shared" si="3"/>
        <v>0.19568749999999999</v>
      </c>
      <c r="L90" s="22">
        <v>-66.08</v>
      </c>
      <c r="M90" s="22">
        <v>61.875999999999998</v>
      </c>
      <c r="N90" s="22">
        <v>18.856000000000002</v>
      </c>
      <c r="O90" s="22">
        <v>-36.427999999999997</v>
      </c>
      <c r="P90" s="22">
        <v>23.634</v>
      </c>
      <c r="Q90" s="22">
        <v>10.555999999999999</v>
      </c>
      <c r="R90" s="22">
        <v>0.2</v>
      </c>
      <c r="S90" s="23">
        <f t="shared" si="4"/>
        <v>0.20379166666666657</v>
      </c>
      <c r="T90" s="22" t="s">
        <v>26</v>
      </c>
      <c r="U90" s="31" t="e">
        <f t="shared" si="5"/>
        <v>#VALUE!</v>
      </c>
      <c r="V90" s="25"/>
      <c r="W90" s="25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</row>
    <row r="91" spans="1:42" ht="12.75" customHeight="1" x14ac:dyDescent="0.2">
      <c r="A91" s="16"/>
      <c r="B91" s="21" t="s">
        <v>108</v>
      </c>
      <c r="C91" s="13">
        <v>44468.735134143521</v>
      </c>
      <c r="D91" s="22">
        <v>-70.891999999999996</v>
      </c>
      <c r="E91" s="22">
        <v>76.019000000000005</v>
      </c>
      <c r="F91" s="22">
        <v>20.155000000000001</v>
      </c>
      <c r="G91" s="22">
        <v>-45.981999999999999</v>
      </c>
      <c r="H91" s="22">
        <v>34.923999999999999</v>
      </c>
      <c r="I91" s="22">
        <v>11.25</v>
      </c>
      <c r="J91" s="22">
        <v>0.188</v>
      </c>
      <c r="K91" s="23">
        <f t="shared" si="3"/>
        <v>0.19568749999999999</v>
      </c>
      <c r="L91" s="22">
        <v>-61.472000000000001</v>
      </c>
      <c r="M91" s="22">
        <v>69.575999999999993</v>
      </c>
      <c r="N91" s="22">
        <v>18.166</v>
      </c>
      <c r="O91" s="22">
        <v>-33.54</v>
      </c>
      <c r="P91" s="22">
        <v>31.466999999999999</v>
      </c>
      <c r="Q91" s="22">
        <v>9.9009999999999998</v>
      </c>
      <c r="R91" s="22">
        <v>0.22500000000000001</v>
      </c>
      <c r="S91" s="23">
        <f t="shared" si="4"/>
        <v>0.20379166666666657</v>
      </c>
      <c r="T91" s="22">
        <v>1.7470000000000001</v>
      </c>
      <c r="U91" s="31">
        <f t="shared" si="5"/>
        <v>0.93924731182795695</v>
      </c>
      <c r="V91" s="25"/>
      <c r="W91" s="25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</row>
    <row r="92" spans="1:42" ht="12.75" customHeight="1" x14ac:dyDescent="0.2">
      <c r="A92" s="16"/>
      <c r="B92" s="21" t="s">
        <v>109</v>
      </c>
      <c r="C92" s="13">
        <v>44468.755967418983</v>
      </c>
      <c r="D92" s="22">
        <v>-79.248000000000005</v>
      </c>
      <c r="E92" s="22">
        <v>77.781999999999996</v>
      </c>
      <c r="F92" s="22">
        <v>20.617000000000001</v>
      </c>
      <c r="G92" s="22">
        <v>-40.225000000000001</v>
      </c>
      <c r="H92" s="22">
        <v>46.856999999999999</v>
      </c>
      <c r="I92" s="22">
        <v>11.747</v>
      </c>
      <c r="J92" s="22">
        <v>0.188</v>
      </c>
      <c r="K92" s="23">
        <f t="shared" si="3"/>
        <v>0.19568749999999999</v>
      </c>
      <c r="L92" s="22">
        <v>-66.438000000000002</v>
      </c>
      <c r="M92" s="22">
        <v>66.751000000000005</v>
      </c>
      <c r="N92" s="22">
        <v>19.277000000000001</v>
      </c>
      <c r="O92" s="22">
        <v>-37.707999999999998</v>
      </c>
      <c r="P92" s="22">
        <v>32.832000000000001</v>
      </c>
      <c r="Q92" s="22">
        <v>10.336</v>
      </c>
      <c r="R92" s="22">
        <v>0.22500000000000001</v>
      </c>
      <c r="S92" s="23">
        <f t="shared" si="4"/>
        <v>0.20379166666666657</v>
      </c>
      <c r="T92" s="22" t="s">
        <v>26</v>
      </c>
      <c r="U92" s="31" t="e">
        <f t="shared" si="5"/>
        <v>#VALUE!</v>
      </c>
      <c r="V92" s="25"/>
      <c r="W92" s="25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</row>
    <row r="93" spans="1:42" ht="12.75" customHeight="1" x14ac:dyDescent="0.2">
      <c r="A93" s="16"/>
      <c r="B93" s="21" t="s">
        <v>110</v>
      </c>
      <c r="C93" s="13">
        <v>44468.776800694446</v>
      </c>
      <c r="D93" s="22">
        <v>-72.513999999999996</v>
      </c>
      <c r="E93" s="22">
        <v>75.483999999999995</v>
      </c>
      <c r="F93" s="22">
        <v>19.908999999999999</v>
      </c>
      <c r="G93" s="22">
        <v>-32.225999999999999</v>
      </c>
      <c r="H93" s="22">
        <v>41.976999999999997</v>
      </c>
      <c r="I93" s="22">
        <v>11.058999999999999</v>
      </c>
      <c r="J93" s="22">
        <v>0.188</v>
      </c>
      <c r="K93" s="23">
        <f t="shared" si="3"/>
        <v>0.19568749999999999</v>
      </c>
      <c r="L93" s="22">
        <v>-57.073999999999998</v>
      </c>
      <c r="M93" s="22">
        <v>57.945999999999998</v>
      </c>
      <c r="N93" s="22">
        <v>17.713999999999999</v>
      </c>
      <c r="O93" s="22">
        <v>-24.27</v>
      </c>
      <c r="P93" s="22">
        <v>33.844999999999999</v>
      </c>
      <c r="Q93" s="22">
        <v>9.5359999999999996</v>
      </c>
      <c r="R93" s="22">
        <v>0.2</v>
      </c>
      <c r="S93" s="23">
        <f t="shared" si="4"/>
        <v>0.20379166666666657</v>
      </c>
      <c r="T93" s="22">
        <v>2.2093000000000025</v>
      </c>
      <c r="U93" s="31">
        <f t="shared" si="5"/>
        <v>1.1877956989247325</v>
      </c>
      <c r="V93" s="25"/>
      <c r="W93" s="25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</row>
    <row r="94" spans="1:42" ht="12.75" customHeight="1" x14ac:dyDescent="0.2">
      <c r="A94" s="16"/>
      <c r="B94" s="21" t="s">
        <v>111</v>
      </c>
      <c r="C94" s="13">
        <v>44468.797633969909</v>
      </c>
      <c r="D94" s="22">
        <v>-79.822999999999993</v>
      </c>
      <c r="E94" s="22">
        <v>82.947000000000003</v>
      </c>
      <c r="F94" s="22">
        <v>19.808</v>
      </c>
      <c r="G94" s="22">
        <v>-39.200000000000003</v>
      </c>
      <c r="H94" s="22">
        <v>39.418999999999997</v>
      </c>
      <c r="I94" s="22">
        <v>10.590999999999999</v>
      </c>
      <c r="J94" s="22">
        <v>0.188</v>
      </c>
      <c r="K94" s="23">
        <f t="shared" si="3"/>
        <v>0.19568749999999999</v>
      </c>
      <c r="L94" s="22">
        <v>-63.523000000000003</v>
      </c>
      <c r="M94" s="22">
        <v>66.613</v>
      </c>
      <c r="N94" s="22">
        <v>18.431000000000001</v>
      </c>
      <c r="O94" s="22">
        <v>-31.872</v>
      </c>
      <c r="P94" s="22">
        <v>33.048999999999999</v>
      </c>
      <c r="Q94" s="22">
        <v>9.6180000000000003</v>
      </c>
      <c r="R94" s="22">
        <v>0.22500000000000001</v>
      </c>
      <c r="S94" s="23">
        <f t="shared" si="4"/>
        <v>0.20379166666666657</v>
      </c>
      <c r="T94" s="22" t="s">
        <v>26</v>
      </c>
      <c r="U94" s="31" t="e">
        <f t="shared" si="5"/>
        <v>#VALUE!</v>
      </c>
      <c r="V94" s="25"/>
      <c r="W94" s="25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</row>
    <row r="95" spans="1:42" ht="12.75" customHeight="1" x14ac:dyDescent="0.2">
      <c r="A95" s="16"/>
      <c r="B95" s="21" t="s">
        <v>112</v>
      </c>
      <c r="C95" s="13">
        <v>44468.818467245372</v>
      </c>
      <c r="D95" s="22">
        <v>-75.174000000000007</v>
      </c>
      <c r="E95" s="22">
        <v>73.090999999999994</v>
      </c>
      <c r="F95" s="22">
        <v>19.547999999999998</v>
      </c>
      <c r="G95" s="22">
        <v>-42.872</v>
      </c>
      <c r="H95" s="22">
        <v>32.128</v>
      </c>
      <c r="I95" s="22">
        <v>10.894</v>
      </c>
      <c r="J95" s="22">
        <v>0.188</v>
      </c>
      <c r="K95" s="23">
        <f t="shared" si="3"/>
        <v>0.19568749999999999</v>
      </c>
      <c r="L95" s="22">
        <v>-61.533000000000001</v>
      </c>
      <c r="M95" s="22">
        <v>70.369</v>
      </c>
      <c r="N95" s="22">
        <v>16.413</v>
      </c>
      <c r="O95" s="22">
        <v>-32.509</v>
      </c>
      <c r="P95" s="22">
        <v>27.166</v>
      </c>
      <c r="Q95" s="22">
        <v>9.0359999999999996</v>
      </c>
      <c r="R95" s="22">
        <v>0.2</v>
      </c>
      <c r="S95" s="23">
        <f t="shared" si="4"/>
        <v>0.20379166666666657</v>
      </c>
      <c r="T95" s="22">
        <v>2.6160000000000001</v>
      </c>
      <c r="U95" s="31">
        <f t="shared" si="5"/>
        <v>1.4064516129032258</v>
      </c>
      <c r="V95" s="25"/>
      <c r="W95" s="25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</row>
    <row r="96" spans="1:42" ht="12.75" customHeight="1" x14ac:dyDescent="0.2">
      <c r="A96" s="16"/>
      <c r="B96" s="21" t="s">
        <v>113</v>
      </c>
      <c r="C96" s="13">
        <v>44468.839300520835</v>
      </c>
      <c r="D96" s="22">
        <v>-80.384</v>
      </c>
      <c r="E96" s="22">
        <v>67.415000000000006</v>
      </c>
      <c r="F96" s="22">
        <v>19.355</v>
      </c>
      <c r="G96" s="22">
        <v>-34.533000000000001</v>
      </c>
      <c r="H96" s="22">
        <v>41.834000000000003</v>
      </c>
      <c r="I96" s="22">
        <v>11.212999999999999</v>
      </c>
      <c r="J96" s="22">
        <v>0.188</v>
      </c>
      <c r="K96" s="23">
        <f t="shared" si="3"/>
        <v>0.19568749999999999</v>
      </c>
      <c r="L96" s="22">
        <v>-61.488</v>
      </c>
      <c r="M96" s="22">
        <v>69.129000000000005</v>
      </c>
      <c r="N96" s="22">
        <v>17.582000000000001</v>
      </c>
      <c r="O96" s="22">
        <v>-35.639000000000003</v>
      </c>
      <c r="P96" s="22">
        <v>36.070999999999998</v>
      </c>
      <c r="Q96" s="22">
        <v>9.9459999999999997</v>
      </c>
      <c r="R96" s="22">
        <v>0.22500000000000001</v>
      </c>
      <c r="S96" s="23">
        <f t="shared" si="4"/>
        <v>0.20379166666666657</v>
      </c>
      <c r="T96" s="22" t="s">
        <v>26</v>
      </c>
      <c r="U96" s="31" t="e">
        <f t="shared" si="5"/>
        <v>#VALUE!</v>
      </c>
      <c r="V96" s="25"/>
      <c r="W96" s="25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</row>
    <row r="97" spans="1:42" ht="12.75" customHeight="1" x14ac:dyDescent="0.2">
      <c r="A97" s="16"/>
      <c r="B97" s="21" t="s">
        <v>114</v>
      </c>
      <c r="C97" s="13">
        <v>44468.860133796297</v>
      </c>
      <c r="D97" s="22">
        <v>-75.697000000000003</v>
      </c>
      <c r="E97" s="22">
        <v>66.878</v>
      </c>
      <c r="F97" s="22">
        <v>19.420000000000002</v>
      </c>
      <c r="G97" s="22">
        <v>-36.438000000000002</v>
      </c>
      <c r="H97" s="22">
        <v>33.595999999999997</v>
      </c>
      <c r="I97" s="22">
        <v>11.087999999999999</v>
      </c>
      <c r="J97" s="22">
        <v>0.188</v>
      </c>
      <c r="K97" s="23">
        <f t="shared" si="3"/>
        <v>0.19568749999999999</v>
      </c>
      <c r="L97" s="22">
        <v>-60.283000000000001</v>
      </c>
      <c r="M97" s="22">
        <v>61.518000000000001</v>
      </c>
      <c r="N97" s="22">
        <v>17.11</v>
      </c>
      <c r="O97" s="22">
        <v>-36.283000000000001</v>
      </c>
      <c r="P97" s="22">
        <v>27.213999999999999</v>
      </c>
      <c r="Q97" s="22">
        <v>9.8989999999999991</v>
      </c>
      <c r="R97" s="22">
        <v>0.2</v>
      </c>
      <c r="S97" s="23">
        <f t="shared" si="4"/>
        <v>0.20379166666666657</v>
      </c>
      <c r="T97" s="22">
        <v>0.501</v>
      </c>
      <c r="U97" s="31">
        <f t="shared" si="5"/>
        <v>0.26935483870967741</v>
      </c>
      <c r="V97" s="25"/>
      <c r="W97" s="25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</row>
    <row r="98" spans="1:42" ht="12.75" customHeight="1" x14ac:dyDescent="0.2">
      <c r="A98" s="16"/>
      <c r="B98" s="21" t="s">
        <v>115</v>
      </c>
      <c r="C98" s="13">
        <v>44468.88096707176</v>
      </c>
      <c r="D98" s="22">
        <v>-64.891999999999996</v>
      </c>
      <c r="E98" s="22">
        <v>64.483999999999995</v>
      </c>
      <c r="F98" s="22">
        <v>19.414000000000001</v>
      </c>
      <c r="G98" s="22">
        <v>-37.667000000000002</v>
      </c>
      <c r="H98" s="22">
        <v>35.369999999999997</v>
      </c>
      <c r="I98" s="22">
        <v>11.237</v>
      </c>
      <c r="J98" s="22">
        <v>0.188</v>
      </c>
      <c r="K98" s="23">
        <f t="shared" si="3"/>
        <v>0.19568749999999999</v>
      </c>
      <c r="L98" s="22">
        <v>-65.807000000000002</v>
      </c>
      <c r="M98" s="22">
        <v>66.39</v>
      </c>
      <c r="N98" s="22">
        <v>17.443999999999999</v>
      </c>
      <c r="O98" s="22">
        <v>-31.966999999999999</v>
      </c>
      <c r="P98" s="22">
        <v>38.006999999999998</v>
      </c>
      <c r="Q98" s="22">
        <v>10.18</v>
      </c>
      <c r="R98" s="22">
        <v>0.2</v>
      </c>
      <c r="S98" s="23">
        <f t="shared" si="4"/>
        <v>0.20379166666666657</v>
      </c>
      <c r="T98" s="22" t="s">
        <v>26</v>
      </c>
      <c r="U98" s="31" t="e">
        <f t="shared" si="5"/>
        <v>#VALUE!</v>
      </c>
      <c r="V98" s="25"/>
      <c r="W98" s="25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</row>
    <row r="99" spans="1:42" ht="12.75" customHeight="1" x14ac:dyDescent="0.2">
      <c r="A99" s="16"/>
      <c r="B99" s="21" t="s">
        <v>116</v>
      </c>
      <c r="C99" s="13">
        <v>44468.901800347223</v>
      </c>
      <c r="D99" s="22">
        <v>-71.242000000000004</v>
      </c>
      <c r="E99" s="22">
        <v>72.018000000000001</v>
      </c>
      <c r="F99" s="22">
        <v>20.196000000000002</v>
      </c>
      <c r="G99" s="22">
        <v>-33.393999999999998</v>
      </c>
      <c r="H99" s="22">
        <v>43.683999999999997</v>
      </c>
      <c r="I99" s="22">
        <v>11.532</v>
      </c>
      <c r="J99" s="22">
        <v>0.188</v>
      </c>
      <c r="K99" s="23">
        <f t="shared" si="3"/>
        <v>0.19568749999999999</v>
      </c>
      <c r="L99" s="22">
        <v>-59.371000000000002</v>
      </c>
      <c r="M99" s="22">
        <v>56.81</v>
      </c>
      <c r="N99" s="22">
        <v>17.613</v>
      </c>
      <c r="O99" s="22">
        <v>-28.071999999999999</v>
      </c>
      <c r="P99" s="22">
        <v>40.363</v>
      </c>
      <c r="Q99" s="22">
        <v>10.449</v>
      </c>
      <c r="R99" s="22">
        <v>0.188</v>
      </c>
      <c r="S99" s="23">
        <f t="shared" si="4"/>
        <v>0.20379166666666657</v>
      </c>
      <c r="T99" s="22">
        <v>0.51800000000000002</v>
      </c>
      <c r="U99" s="31">
        <f t="shared" si="5"/>
        <v>0.27849462365591399</v>
      </c>
      <c r="V99" s="25"/>
      <c r="W99" s="25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</row>
    <row r="100" spans="1:42" ht="12.75" customHeight="1" x14ac:dyDescent="0.2">
      <c r="A100" s="16"/>
      <c r="B100" s="21" t="s">
        <v>117</v>
      </c>
      <c r="C100" s="13">
        <v>44468.922633622686</v>
      </c>
      <c r="D100" s="22">
        <v>-65.284999999999997</v>
      </c>
      <c r="E100" s="22">
        <v>74.576999999999998</v>
      </c>
      <c r="F100" s="22">
        <v>19.579999999999998</v>
      </c>
      <c r="G100" s="22">
        <v>-29.388000000000002</v>
      </c>
      <c r="H100" s="22">
        <v>44.292000000000002</v>
      </c>
      <c r="I100" s="22">
        <v>11.529</v>
      </c>
      <c r="J100" s="22">
        <v>0.188</v>
      </c>
      <c r="K100" s="23">
        <f t="shared" si="3"/>
        <v>0.19568749999999999</v>
      </c>
      <c r="L100" s="22">
        <v>-61.128</v>
      </c>
      <c r="M100" s="22">
        <v>55.716999999999999</v>
      </c>
      <c r="N100" s="22">
        <v>17.55</v>
      </c>
      <c r="O100" s="22">
        <v>-30.882999999999999</v>
      </c>
      <c r="P100" s="22">
        <v>34.351999999999997</v>
      </c>
      <c r="Q100" s="22">
        <v>10.429</v>
      </c>
      <c r="R100" s="22">
        <v>0.188</v>
      </c>
      <c r="S100" s="23">
        <f t="shared" si="4"/>
        <v>0.20379166666666657</v>
      </c>
      <c r="T100" s="22" t="s">
        <v>26</v>
      </c>
      <c r="U100" s="31" t="e">
        <f t="shared" si="5"/>
        <v>#VALUE!</v>
      </c>
      <c r="V100" s="25"/>
      <c r="W100" s="25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</row>
    <row r="101" spans="1:42" ht="12.75" customHeight="1" x14ac:dyDescent="0.2">
      <c r="A101" s="16"/>
      <c r="B101" s="21" t="s">
        <v>118</v>
      </c>
      <c r="C101" s="13">
        <v>44468.943466898148</v>
      </c>
      <c r="D101" s="22">
        <v>-71.796000000000006</v>
      </c>
      <c r="E101" s="22">
        <v>73.129000000000005</v>
      </c>
      <c r="F101" s="22">
        <v>18.300999999999998</v>
      </c>
      <c r="G101" s="22">
        <v>-43.899000000000001</v>
      </c>
      <c r="H101" s="22">
        <v>38.445999999999998</v>
      </c>
      <c r="I101" s="22">
        <v>10.435</v>
      </c>
      <c r="J101" s="22">
        <v>0.188</v>
      </c>
      <c r="K101" s="23">
        <f t="shared" si="3"/>
        <v>0.19568749999999999</v>
      </c>
      <c r="L101" s="22">
        <v>-51.281999999999996</v>
      </c>
      <c r="M101" s="22">
        <v>52.265000000000001</v>
      </c>
      <c r="N101" s="22">
        <v>17.056999999999999</v>
      </c>
      <c r="O101" s="22">
        <v>-32.747999999999998</v>
      </c>
      <c r="P101" s="22">
        <v>28.13</v>
      </c>
      <c r="Q101" s="22">
        <v>9.9860000000000007</v>
      </c>
      <c r="R101" s="22">
        <v>0.2</v>
      </c>
      <c r="S101" s="23">
        <f t="shared" si="4"/>
        <v>0.20379166666666657</v>
      </c>
      <c r="T101" s="22">
        <v>0.55000000000000004</v>
      </c>
      <c r="U101" s="31">
        <f t="shared" si="5"/>
        <v>0.29569892473118281</v>
      </c>
      <c r="V101" s="25"/>
      <c r="W101" s="25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</row>
    <row r="102" spans="1:42" ht="12.75" customHeight="1" x14ac:dyDescent="0.2">
      <c r="A102" s="16"/>
      <c r="B102" s="21" t="s">
        <v>119</v>
      </c>
      <c r="C102" s="13">
        <v>44468.964300173611</v>
      </c>
      <c r="D102" s="22">
        <v>-81.760000000000005</v>
      </c>
      <c r="E102" s="22">
        <v>76.936999999999998</v>
      </c>
      <c r="F102" s="22">
        <v>20.199000000000002</v>
      </c>
      <c r="G102" s="22">
        <v>-35.262999999999998</v>
      </c>
      <c r="H102" s="22">
        <v>43.381999999999998</v>
      </c>
      <c r="I102" s="22">
        <v>11.635999999999999</v>
      </c>
      <c r="J102" s="22">
        <v>0.2</v>
      </c>
      <c r="K102" s="23">
        <f t="shared" si="3"/>
        <v>0.19568749999999999</v>
      </c>
      <c r="L102" s="22">
        <v>-63.268999999999998</v>
      </c>
      <c r="M102" s="22">
        <v>68.686999999999998</v>
      </c>
      <c r="N102" s="22">
        <v>19.132999999999999</v>
      </c>
      <c r="O102" s="22">
        <v>-39.337000000000003</v>
      </c>
      <c r="P102" s="22">
        <v>33.808999999999997</v>
      </c>
      <c r="Q102" s="22">
        <v>11.167999999999999</v>
      </c>
      <c r="R102" s="22">
        <v>0.2</v>
      </c>
      <c r="S102" s="23">
        <f t="shared" si="4"/>
        <v>0.20379166666666657</v>
      </c>
      <c r="T102" s="22" t="s">
        <v>26</v>
      </c>
      <c r="U102" s="31" t="e">
        <f t="shared" si="5"/>
        <v>#VALUE!</v>
      </c>
      <c r="V102" s="25"/>
      <c r="W102" s="25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2.75" customHeight="1" x14ac:dyDescent="0.2">
      <c r="A103" s="16"/>
      <c r="B103" s="21" t="s">
        <v>120</v>
      </c>
      <c r="C103" s="13">
        <v>44468.985133449074</v>
      </c>
      <c r="D103" s="22">
        <v>-64.98</v>
      </c>
      <c r="E103" s="22">
        <v>71.787000000000006</v>
      </c>
      <c r="F103" s="22">
        <v>19.582000000000001</v>
      </c>
      <c r="G103" s="22">
        <v>-44.216000000000001</v>
      </c>
      <c r="H103" s="22">
        <v>38.619999999999997</v>
      </c>
      <c r="I103" s="22">
        <v>11.374000000000001</v>
      </c>
      <c r="J103" s="22">
        <v>0.188</v>
      </c>
      <c r="K103" s="23">
        <f t="shared" si="3"/>
        <v>0.19568749999999999</v>
      </c>
      <c r="L103" s="22">
        <v>-61.74</v>
      </c>
      <c r="M103" s="22">
        <v>62.191000000000003</v>
      </c>
      <c r="N103" s="22">
        <v>17.452999999999999</v>
      </c>
      <c r="O103" s="22">
        <v>-31.422000000000001</v>
      </c>
      <c r="P103" s="22">
        <v>34.83</v>
      </c>
      <c r="Q103" s="22">
        <v>10.057</v>
      </c>
      <c r="R103" s="22">
        <v>0.2</v>
      </c>
      <c r="S103" s="23">
        <f t="shared" si="4"/>
        <v>0.20379166666666657</v>
      </c>
      <c r="T103" s="22">
        <v>1.635</v>
      </c>
      <c r="U103" s="31">
        <f t="shared" si="5"/>
        <v>0.87903225806451613</v>
      </c>
      <c r="V103" s="25"/>
      <c r="W103" s="25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</row>
    <row r="104" spans="1:42" ht="12.75" customHeight="1" x14ac:dyDescent="0.2">
      <c r="A104" s="11">
        <v>3</v>
      </c>
      <c r="B104" s="12" t="s">
        <v>121</v>
      </c>
      <c r="C104" s="13">
        <v>44469.005966724537</v>
      </c>
      <c r="D104" s="14">
        <v>-68.503</v>
      </c>
      <c r="E104" s="14">
        <v>65.924999999999997</v>
      </c>
      <c r="F104" s="14">
        <v>18.672999999999998</v>
      </c>
      <c r="G104" s="14">
        <v>-34.606000000000002</v>
      </c>
      <c r="H104" s="14">
        <v>33.534999999999997</v>
      </c>
      <c r="I104" s="14">
        <v>10.818</v>
      </c>
      <c r="J104" s="14">
        <v>0.188</v>
      </c>
      <c r="K104" s="15">
        <f>AVERAGE(J104:J151)</f>
        <v>0.1982708333333332</v>
      </c>
      <c r="L104" s="14">
        <v>-54.392000000000003</v>
      </c>
      <c r="M104" s="14">
        <v>57.131999999999998</v>
      </c>
      <c r="N104" s="14">
        <v>16.576000000000001</v>
      </c>
      <c r="O104" s="14">
        <v>-33.061999999999998</v>
      </c>
      <c r="P104" s="14">
        <v>33.082999999999998</v>
      </c>
      <c r="Q104" s="14">
        <v>9.7449999999999992</v>
      </c>
      <c r="R104" s="14">
        <v>0.188</v>
      </c>
      <c r="S104" s="15">
        <f>AVERAGE(R104:R151)</f>
        <v>0.19974999999999987</v>
      </c>
      <c r="T104" s="14" t="s">
        <v>26</v>
      </c>
      <c r="U104" s="31" t="e">
        <f t="shared" si="5"/>
        <v>#VALUE!</v>
      </c>
      <c r="V104" s="2"/>
      <c r="W104" s="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ht="12.75" customHeight="1" x14ac:dyDescent="0.2">
      <c r="A105" s="16"/>
      <c r="B105" s="12" t="s">
        <v>122</v>
      </c>
      <c r="C105" s="13">
        <v>44469.0268</v>
      </c>
      <c r="D105" s="14">
        <v>-71.213999999999999</v>
      </c>
      <c r="E105" s="14">
        <v>82.614000000000004</v>
      </c>
      <c r="F105" s="14">
        <v>19.622</v>
      </c>
      <c r="G105" s="14">
        <v>-37.564999999999998</v>
      </c>
      <c r="H105" s="14">
        <v>49.381</v>
      </c>
      <c r="I105" s="14">
        <v>11.441000000000001</v>
      </c>
      <c r="J105" s="14">
        <v>0.188</v>
      </c>
      <c r="K105" s="15">
        <f t="shared" ref="K105:K151" si="6">K104</f>
        <v>0.1982708333333332</v>
      </c>
      <c r="L105" s="14">
        <v>-64.677999999999997</v>
      </c>
      <c r="M105" s="14">
        <v>76.150999999999996</v>
      </c>
      <c r="N105" s="14">
        <v>17.503</v>
      </c>
      <c r="O105" s="14">
        <v>-40.095999999999997</v>
      </c>
      <c r="P105" s="14">
        <v>42.758000000000003</v>
      </c>
      <c r="Q105" s="14">
        <v>10.554</v>
      </c>
      <c r="R105" s="14">
        <v>0.188</v>
      </c>
      <c r="S105" s="15">
        <f t="shared" ref="S105:S151" si="7">S104</f>
        <v>0.19974999999999987</v>
      </c>
      <c r="T105" s="14">
        <v>0.54500000000000004</v>
      </c>
      <c r="U105" s="31">
        <f t="shared" si="5"/>
        <v>0.29301075268817206</v>
      </c>
      <c r="V105" s="2"/>
      <c r="W105" s="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ht="12.75" customHeight="1" x14ac:dyDescent="0.2">
      <c r="A106" s="16"/>
      <c r="B106" s="12" t="s">
        <v>123</v>
      </c>
      <c r="C106" s="13">
        <v>44469.047633275462</v>
      </c>
      <c r="D106" s="14">
        <v>-61</v>
      </c>
      <c r="E106" s="14">
        <v>66.034000000000006</v>
      </c>
      <c r="F106" s="14">
        <v>19.07</v>
      </c>
      <c r="G106" s="14">
        <v>-43.582999999999998</v>
      </c>
      <c r="H106" s="14">
        <v>34.764000000000003</v>
      </c>
      <c r="I106" s="14">
        <v>11.14</v>
      </c>
      <c r="J106" s="14">
        <v>0.188</v>
      </c>
      <c r="K106" s="15">
        <f t="shared" si="6"/>
        <v>0.1982708333333332</v>
      </c>
      <c r="L106" s="14">
        <v>-57.575000000000003</v>
      </c>
      <c r="M106" s="14">
        <v>57.533999999999999</v>
      </c>
      <c r="N106" s="14">
        <v>17.754999999999999</v>
      </c>
      <c r="O106" s="14">
        <v>-31.167999999999999</v>
      </c>
      <c r="P106" s="14">
        <v>31.294</v>
      </c>
      <c r="Q106" s="14">
        <v>10.476000000000001</v>
      </c>
      <c r="R106" s="14">
        <v>0.2</v>
      </c>
      <c r="S106" s="15">
        <f t="shared" si="7"/>
        <v>0.19974999999999987</v>
      </c>
      <c r="T106" s="14" t="s">
        <v>26</v>
      </c>
      <c r="U106" s="31" t="e">
        <f t="shared" si="5"/>
        <v>#VALUE!</v>
      </c>
      <c r="V106" s="2"/>
      <c r="W106" s="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ht="12.75" customHeight="1" x14ac:dyDescent="0.2">
      <c r="A107" s="16"/>
      <c r="B107" s="12" t="s">
        <v>124</v>
      </c>
      <c r="C107" s="13">
        <v>44469.068466550925</v>
      </c>
      <c r="D107" s="14">
        <v>-72.846000000000004</v>
      </c>
      <c r="E107" s="14">
        <v>71.459999999999994</v>
      </c>
      <c r="F107" s="14">
        <v>20.658000000000001</v>
      </c>
      <c r="G107" s="14">
        <v>-38.090000000000003</v>
      </c>
      <c r="H107" s="14">
        <v>39.329000000000001</v>
      </c>
      <c r="I107" s="14">
        <v>12.375999999999999</v>
      </c>
      <c r="J107" s="14">
        <v>0.188</v>
      </c>
      <c r="K107" s="15">
        <f t="shared" si="6"/>
        <v>0.1982708333333332</v>
      </c>
      <c r="L107" s="14">
        <v>-64.171000000000006</v>
      </c>
      <c r="M107" s="14">
        <v>67.891999999999996</v>
      </c>
      <c r="N107" s="14">
        <v>17.774999999999999</v>
      </c>
      <c r="O107" s="14">
        <v>-29.934000000000001</v>
      </c>
      <c r="P107" s="14">
        <v>33.655000000000001</v>
      </c>
      <c r="Q107" s="14">
        <v>10.667999999999999</v>
      </c>
      <c r="R107" s="14">
        <v>0.188</v>
      </c>
      <c r="S107" s="15">
        <f t="shared" si="7"/>
        <v>0.19974999999999987</v>
      </c>
      <c r="T107" s="14">
        <v>0.51800000000000002</v>
      </c>
      <c r="U107" s="31">
        <f t="shared" si="5"/>
        <v>0.27849462365591399</v>
      </c>
      <c r="V107" s="2"/>
      <c r="W107" s="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ht="12.75" customHeight="1" x14ac:dyDescent="0.2">
      <c r="A108" s="16"/>
      <c r="B108" s="12" t="s">
        <v>125</v>
      </c>
      <c r="C108" s="13">
        <v>44469.089299826388</v>
      </c>
      <c r="D108" s="14">
        <v>-68.933999999999997</v>
      </c>
      <c r="E108" s="14">
        <v>67.805000000000007</v>
      </c>
      <c r="F108" s="14">
        <v>18.988</v>
      </c>
      <c r="G108" s="14">
        <v>-43.667999999999999</v>
      </c>
      <c r="H108" s="14">
        <v>37.326999999999998</v>
      </c>
      <c r="I108" s="14">
        <v>11.432</v>
      </c>
      <c r="J108" s="14">
        <v>0.188</v>
      </c>
      <c r="K108" s="15">
        <f t="shared" si="6"/>
        <v>0.1982708333333332</v>
      </c>
      <c r="L108" s="14">
        <v>-58.353000000000002</v>
      </c>
      <c r="M108" s="14">
        <v>58.06</v>
      </c>
      <c r="N108" s="14">
        <v>17.744</v>
      </c>
      <c r="O108" s="14">
        <v>-34.042000000000002</v>
      </c>
      <c r="P108" s="14">
        <v>30.018000000000001</v>
      </c>
      <c r="Q108" s="14">
        <v>10.725</v>
      </c>
      <c r="R108" s="14">
        <v>0.2</v>
      </c>
      <c r="S108" s="15">
        <f t="shared" si="7"/>
        <v>0.19974999999999987</v>
      </c>
      <c r="T108" s="14" t="s">
        <v>26</v>
      </c>
      <c r="U108" s="31" t="e">
        <f t="shared" si="5"/>
        <v>#VALUE!</v>
      </c>
      <c r="V108" s="2"/>
      <c r="W108" s="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ht="12.75" customHeight="1" x14ac:dyDescent="0.2">
      <c r="A109" s="16"/>
      <c r="B109" s="12" t="s">
        <v>126</v>
      </c>
      <c r="C109" s="13">
        <v>44469.110133101851</v>
      </c>
      <c r="D109" s="14">
        <v>-73.456999999999994</v>
      </c>
      <c r="E109" s="14">
        <v>67.185000000000002</v>
      </c>
      <c r="F109" s="14">
        <v>18.898</v>
      </c>
      <c r="G109" s="14">
        <v>-37.283000000000001</v>
      </c>
      <c r="H109" s="14">
        <v>37.343000000000004</v>
      </c>
      <c r="I109" s="14">
        <v>11.504</v>
      </c>
      <c r="J109" s="14">
        <v>0.188</v>
      </c>
      <c r="K109" s="15">
        <f t="shared" si="6"/>
        <v>0.1982708333333332</v>
      </c>
      <c r="L109" s="14">
        <v>-56.067</v>
      </c>
      <c r="M109" s="14">
        <v>55.768999999999998</v>
      </c>
      <c r="N109" s="14">
        <v>18.065999999999999</v>
      </c>
      <c r="O109" s="14">
        <v>-35.811999999999998</v>
      </c>
      <c r="P109" s="14">
        <v>28.582999999999998</v>
      </c>
      <c r="Q109" s="14">
        <v>10.94</v>
      </c>
      <c r="R109" s="14">
        <v>0.188</v>
      </c>
      <c r="S109" s="15">
        <f t="shared" si="7"/>
        <v>0.19974999999999987</v>
      </c>
      <c r="T109" s="14">
        <v>0.47599999999999998</v>
      </c>
      <c r="U109" s="31">
        <f t="shared" si="5"/>
        <v>0.25591397849462361</v>
      </c>
      <c r="V109" s="2"/>
      <c r="W109" s="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ht="12.75" customHeight="1" x14ac:dyDescent="0.2">
      <c r="A110" s="16"/>
      <c r="B110" s="12" t="s">
        <v>127</v>
      </c>
      <c r="C110" s="13">
        <v>44469.130966377314</v>
      </c>
      <c r="D110" s="14">
        <v>-58.628999999999998</v>
      </c>
      <c r="E110" s="14">
        <v>65.56</v>
      </c>
      <c r="F110" s="14">
        <v>17.515000000000001</v>
      </c>
      <c r="G110" s="14">
        <v>-35.048000000000002</v>
      </c>
      <c r="H110" s="14">
        <v>37.165999999999997</v>
      </c>
      <c r="I110" s="14">
        <v>10.369</v>
      </c>
      <c r="J110" s="14">
        <v>0.188</v>
      </c>
      <c r="K110" s="15">
        <f t="shared" si="6"/>
        <v>0.1982708333333332</v>
      </c>
      <c r="L110" s="14">
        <v>-59.030999999999999</v>
      </c>
      <c r="M110" s="14">
        <v>61.875</v>
      </c>
      <c r="N110" s="14">
        <v>17.391999999999999</v>
      </c>
      <c r="O110" s="14">
        <v>-29.466000000000001</v>
      </c>
      <c r="P110" s="14">
        <v>38.789000000000001</v>
      </c>
      <c r="Q110" s="14">
        <v>10.403</v>
      </c>
      <c r="R110" s="14">
        <v>0.2</v>
      </c>
      <c r="S110" s="15">
        <f t="shared" si="7"/>
        <v>0.19974999999999987</v>
      </c>
      <c r="T110" s="14" t="s">
        <v>26</v>
      </c>
      <c r="U110" s="31" t="e">
        <f t="shared" si="5"/>
        <v>#VALUE!</v>
      </c>
      <c r="V110" s="2"/>
      <c r="W110" s="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ht="12.75" customHeight="1" x14ac:dyDescent="0.2">
      <c r="A111" s="16"/>
      <c r="B111" s="12" t="s">
        <v>128</v>
      </c>
      <c r="C111" s="13">
        <v>44469.151799652776</v>
      </c>
      <c r="D111" s="14">
        <v>-63.472999999999999</v>
      </c>
      <c r="E111" s="14">
        <v>73.012</v>
      </c>
      <c r="F111" s="14">
        <v>17.619</v>
      </c>
      <c r="G111" s="14">
        <v>-48.4</v>
      </c>
      <c r="H111" s="14">
        <v>32.564999999999998</v>
      </c>
      <c r="I111" s="14">
        <v>10.416</v>
      </c>
      <c r="J111" s="14">
        <v>0.188</v>
      </c>
      <c r="K111" s="15">
        <f t="shared" si="6"/>
        <v>0.1982708333333332</v>
      </c>
      <c r="L111" s="14">
        <v>-54.17</v>
      </c>
      <c r="M111" s="14">
        <v>58.856999999999999</v>
      </c>
      <c r="N111" s="14">
        <v>15.994</v>
      </c>
      <c r="O111" s="14">
        <v>-38.228000000000002</v>
      </c>
      <c r="P111" s="14">
        <v>27.818000000000001</v>
      </c>
      <c r="Q111" s="14">
        <v>9.7200000000000006</v>
      </c>
      <c r="R111" s="14">
        <v>0.188</v>
      </c>
      <c r="S111" s="15">
        <f t="shared" si="7"/>
        <v>0.19974999999999987</v>
      </c>
      <c r="T111" s="14">
        <v>0.53100000000000003</v>
      </c>
      <c r="U111" s="31">
        <f t="shared" si="5"/>
        <v>0.28548387096774192</v>
      </c>
      <c r="V111" s="2"/>
      <c r="W111" s="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ht="12.75" customHeight="1" x14ac:dyDescent="0.2">
      <c r="A112" s="16"/>
      <c r="B112" s="12" t="s">
        <v>129</v>
      </c>
      <c r="C112" s="13">
        <v>44469.172632928239</v>
      </c>
      <c r="D112" s="14">
        <v>-76.221999999999994</v>
      </c>
      <c r="E112" s="14">
        <v>69.096999999999994</v>
      </c>
      <c r="F112" s="14">
        <v>17.594000000000001</v>
      </c>
      <c r="G112" s="14">
        <v>-39.865000000000002</v>
      </c>
      <c r="H112" s="14">
        <v>34.531999999999996</v>
      </c>
      <c r="I112" s="14">
        <v>10.699</v>
      </c>
      <c r="J112" s="14">
        <v>0.188</v>
      </c>
      <c r="K112" s="15">
        <f t="shared" si="6"/>
        <v>0.1982708333333332</v>
      </c>
      <c r="L112" s="14">
        <v>-50.057000000000002</v>
      </c>
      <c r="M112" s="14">
        <v>55.643000000000001</v>
      </c>
      <c r="N112" s="14">
        <v>16.373000000000001</v>
      </c>
      <c r="O112" s="14">
        <v>-37.097000000000001</v>
      </c>
      <c r="P112" s="14">
        <v>24.577999999999999</v>
      </c>
      <c r="Q112" s="14">
        <v>10.108000000000001</v>
      </c>
      <c r="R112" s="14">
        <v>0.188</v>
      </c>
      <c r="S112" s="15">
        <f t="shared" si="7"/>
        <v>0.19974999999999987</v>
      </c>
      <c r="T112" s="14" t="s">
        <v>26</v>
      </c>
      <c r="U112" s="31" t="e">
        <f t="shared" si="5"/>
        <v>#VALUE!</v>
      </c>
      <c r="V112" s="2"/>
      <c r="W112" s="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ht="12.75" customHeight="1" x14ac:dyDescent="0.2">
      <c r="A113" s="16"/>
      <c r="B113" s="12" t="s">
        <v>130</v>
      </c>
      <c r="C113" s="13">
        <v>44469.193466203702</v>
      </c>
      <c r="D113" s="14">
        <v>-63.793999999999997</v>
      </c>
      <c r="E113" s="14">
        <v>61.854999999999997</v>
      </c>
      <c r="F113" s="14">
        <v>16.254000000000001</v>
      </c>
      <c r="G113" s="14">
        <v>-31.67</v>
      </c>
      <c r="H113" s="14">
        <v>28.54</v>
      </c>
      <c r="I113" s="14">
        <v>9.4359999999999999</v>
      </c>
      <c r="J113" s="14">
        <v>0.188</v>
      </c>
      <c r="K113" s="15">
        <f t="shared" si="6"/>
        <v>0.1982708333333332</v>
      </c>
      <c r="L113" s="14">
        <v>-58.93</v>
      </c>
      <c r="M113" s="14">
        <v>55.77</v>
      </c>
      <c r="N113" s="14">
        <v>16.202000000000002</v>
      </c>
      <c r="O113" s="14">
        <v>-23.484000000000002</v>
      </c>
      <c r="P113" s="14">
        <v>35.676000000000002</v>
      </c>
      <c r="Q113" s="14">
        <v>9.4550000000000001</v>
      </c>
      <c r="R113" s="14">
        <v>0.2</v>
      </c>
      <c r="S113" s="15">
        <f t="shared" si="7"/>
        <v>0.19974999999999987</v>
      </c>
      <c r="T113" s="14">
        <v>0.624</v>
      </c>
      <c r="U113" s="31">
        <f t="shared" si="5"/>
        <v>0.3354838709677419</v>
      </c>
      <c r="V113" s="2"/>
      <c r="W113" s="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ht="12.75" customHeight="1" x14ac:dyDescent="0.2">
      <c r="A114" s="16"/>
      <c r="B114" s="12" t="s">
        <v>131</v>
      </c>
      <c r="C114" s="13">
        <v>44469.214299479165</v>
      </c>
      <c r="D114" s="14">
        <v>-63.432000000000002</v>
      </c>
      <c r="E114" s="14">
        <v>69.971000000000004</v>
      </c>
      <c r="F114" s="14">
        <v>17.344999999999999</v>
      </c>
      <c r="G114" s="14">
        <v>-40.219000000000001</v>
      </c>
      <c r="H114" s="14">
        <v>29.123000000000001</v>
      </c>
      <c r="I114" s="14">
        <v>10.212999999999999</v>
      </c>
      <c r="J114" s="14">
        <v>0.188</v>
      </c>
      <c r="K114" s="15">
        <f t="shared" si="6"/>
        <v>0.1982708333333332</v>
      </c>
      <c r="L114" s="14">
        <v>-53.439</v>
      </c>
      <c r="M114" s="14">
        <v>51.899000000000001</v>
      </c>
      <c r="N114" s="14">
        <v>16.207000000000001</v>
      </c>
      <c r="O114" s="14">
        <v>-34.731000000000002</v>
      </c>
      <c r="P114" s="14">
        <v>26.363</v>
      </c>
      <c r="Q114" s="14">
        <v>9.9049999999999994</v>
      </c>
      <c r="R114" s="14">
        <v>0.188</v>
      </c>
      <c r="S114" s="15">
        <f t="shared" si="7"/>
        <v>0.19974999999999987</v>
      </c>
      <c r="T114" s="14" t="s">
        <v>26</v>
      </c>
      <c r="U114" s="31" t="e">
        <f t="shared" si="5"/>
        <v>#VALUE!</v>
      </c>
      <c r="V114" s="2"/>
      <c r="W114" s="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ht="12.75" customHeight="1" x14ac:dyDescent="0.2">
      <c r="A115" s="16"/>
      <c r="B115" s="12" t="s">
        <v>132</v>
      </c>
      <c r="C115" s="13">
        <v>44469.235132754628</v>
      </c>
      <c r="D115" s="14">
        <v>-67.638000000000005</v>
      </c>
      <c r="E115" s="14">
        <v>68.088999999999999</v>
      </c>
      <c r="F115" s="14">
        <v>16.829000000000001</v>
      </c>
      <c r="G115" s="14">
        <v>-42.295000000000002</v>
      </c>
      <c r="H115" s="14">
        <v>35.015000000000001</v>
      </c>
      <c r="I115" s="14">
        <v>10.151</v>
      </c>
      <c r="J115" s="14">
        <v>0.188</v>
      </c>
      <c r="K115" s="15">
        <f t="shared" si="6"/>
        <v>0.1982708333333332</v>
      </c>
      <c r="L115" s="14">
        <v>-56.003</v>
      </c>
      <c r="M115" s="14">
        <v>58.259</v>
      </c>
      <c r="N115" s="14">
        <v>15.693</v>
      </c>
      <c r="O115" s="14">
        <v>-38.926000000000002</v>
      </c>
      <c r="P115" s="14">
        <v>26.08</v>
      </c>
      <c r="Q115" s="14">
        <v>9.4700000000000006</v>
      </c>
      <c r="R115" s="14">
        <v>0.188</v>
      </c>
      <c r="S115" s="15">
        <f t="shared" si="7"/>
        <v>0.19974999999999987</v>
      </c>
      <c r="T115" s="14">
        <v>1.3049999999999999</v>
      </c>
      <c r="U115" s="31">
        <f t="shared" si="5"/>
        <v>0.70161290322580638</v>
      </c>
      <c r="V115" s="2"/>
      <c r="W115" s="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ht="12.75" customHeight="1" x14ac:dyDescent="0.2">
      <c r="A116" s="16"/>
      <c r="B116" s="12" t="s">
        <v>133</v>
      </c>
      <c r="C116" s="13">
        <v>44469.25596603009</v>
      </c>
      <c r="D116" s="14">
        <v>-59.927999999999997</v>
      </c>
      <c r="E116" s="14">
        <v>62.170999999999999</v>
      </c>
      <c r="F116" s="14">
        <v>16.149000000000001</v>
      </c>
      <c r="G116" s="14">
        <v>-28.058</v>
      </c>
      <c r="H116" s="14">
        <v>38.191000000000003</v>
      </c>
      <c r="I116" s="14">
        <v>9.673</v>
      </c>
      <c r="J116" s="14">
        <v>0.188</v>
      </c>
      <c r="K116" s="15">
        <f t="shared" si="6"/>
        <v>0.1982708333333332</v>
      </c>
      <c r="L116" s="14">
        <v>-46.603000000000002</v>
      </c>
      <c r="M116" s="14">
        <v>49.683999999999997</v>
      </c>
      <c r="N116" s="14">
        <v>14.28</v>
      </c>
      <c r="O116" s="14">
        <v>-25.074999999999999</v>
      </c>
      <c r="P116" s="14">
        <v>28.417999999999999</v>
      </c>
      <c r="Q116" s="14">
        <v>8.3800000000000008</v>
      </c>
      <c r="R116" s="14">
        <v>0.188</v>
      </c>
      <c r="S116" s="15">
        <f t="shared" si="7"/>
        <v>0.19974999999999987</v>
      </c>
      <c r="T116" s="14" t="s">
        <v>26</v>
      </c>
      <c r="U116" s="31" t="e">
        <f t="shared" si="5"/>
        <v>#VALUE!</v>
      </c>
      <c r="V116" s="2"/>
      <c r="W116" s="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ht="12.75" customHeight="1" x14ac:dyDescent="0.2">
      <c r="A117" s="16"/>
      <c r="B117" s="12" t="s">
        <v>134</v>
      </c>
      <c r="C117" s="13">
        <v>44469.276799305553</v>
      </c>
      <c r="D117" s="14">
        <v>-55.594000000000001</v>
      </c>
      <c r="E117" s="14">
        <v>57.195</v>
      </c>
      <c r="F117" s="14">
        <v>14.867000000000001</v>
      </c>
      <c r="G117" s="14">
        <v>-29.600999999999999</v>
      </c>
      <c r="H117" s="14">
        <v>26.094000000000001</v>
      </c>
      <c r="I117" s="14">
        <v>8.7850000000000001</v>
      </c>
      <c r="J117" s="14">
        <v>0.188</v>
      </c>
      <c r="K117" s="15">
        <f t="shared" si="6"/>
        <v>0.1982708333333332</v>
      </c>
      <c r="L117" s="14">
        <v>-49.386000000000003</v>
      </c>
      <c r="M117" s="14">
        <v>46.548000000000002</v>
      </c>
      <c r="N117" s="14">
        <v>13.743</v>
      </c>
      <c r="O117" s="14">
        <v>-28.856000000000002</v>
      </c>
      <c r="P117" s="14">
        <v>19.148</v>
      </c>
      <c r="Q117" s="14">
        <v>7.9509999999999996</v>
      </c>
      <c r="R117" s="14">
        <v>0.188</v>
      </c>
      <c r="S117" s="15">
        <f t="shared" si="7"/>
        <v>0.19974999999999987</v>
      </c>
      <c r="T117" s="14">
        <v>0.67100000000000004</v>
      </c>
      <c r="U117" s="31">
        <f t="shared" si="5"/>
        <v>0.36075268817204303</v>
      </c>
      <c r="V117" s="2"/>
      <c r="W117" s="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ht="12.75" customHeight="1" x14ac:dyDescent="0.2">
      <c r="A118" s="16"/>
      <c r="B118" s="12" t="s">
        <v>135</v>
      </c>
      <c r="C118" s="13">
        <v>44469.297632581016</v>
      </c>
      <c r="D118" s="14">
        <v>-60.155999999999999</v>
      </c>
      <c r="E118" s="14">
        <v>57.889000000000003</v>
      </c>
      <c r="F118" s="14">
        <v>15.611000000000001</v>
      </c>
      <c r="G118" s="14">
        <v>-29.637</v>
      </c>
      <c r="H118" s="14">
        <v>29.965</v>
      </c>
      <c r="I118" s="14">
        <v>8.9640000000000004</v>
      </c>
      <c r="J118" s="14">
        <v>0.188</v>
      </c>
      <c r="K118" s="15">
        <f t="shared" si="6"/>
        <v>0.1982708333333332</v>
      </c>
      <c r="L118" s="14">
        <v>-46.530999999999999</v>
      </c>
      <c r="M118" s="14">
        <v>53.643999999999998</v>
      </c>
      <c r="N118" s="14">
        <v>14.585000000000001</v>
      </c>
      <c r="O118" s="14">
        <v>-27.279</v>
      </c>
      <c r="P118" s="14">
        <v>23.74</v>
      </c>
      <c r="Q118" s="14">
        <v>8.1449999999999996</v>
      </c>
      <c r="R118" s="14">
        <v>0.188</v>
      </c>
      <c r="S118" s="15">
        <f t="shared" si="7"/>
        <v>0.19974999999999987</v>
      </c>
      <c r="T118" s="14" t="s">
        <v>26</v>
      </c>
      <c r="U118" s="31" t="e">
        <f t="shared" si="5"/>
        <v>#VALUE!</v>
      </c>
      <c r="V118" s="2"/>
      <c r="W118" s="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ht="12.75" customHeight="1" x14ac:dyDescent="0.2">
      <c r="A119" s="16"/>
      <c r="B119" s="12" t="s">
        <v>136</v>
      </c>
      <c r="C119" s="13">
        <v>44469.318465856479</v>
      </c>
      <c r="D119" s="14">
        <v>-61.988999999999997</v>
      </c>
      <c r="E119" s="14">
        <v>55.67</v>
      </c>
      <c r="F119" s="14">
        <v>15.628</v>
      </c>
      <c r="G119" s="14">
        <v>-34.317</v>
      </c>
      <c r="H119" s="14">
        <v>29.507999999999999</v>
      </c>
      <c r="I119" s="14">
        <v>9.5039999999999996</v>
      </c>
      <c r="J119" s="14">
        <v>0.188</v>
      </c>
      <c r="K119" s="15">
        <f t="shared" si="6"/>
        <v>0.1982708333333332</v>
      </c>
      <c r="L119" s="14">
        <v>-50.418999999999997</v>
      </c>
      <c r="M119" s="14">
        <v>47.767000000000003</v>
      </c>
      <c r="N119" s="14">
        <v>14.43</v>
      </c>
      <c r="O119" s="14">
        <v>-32.972999999999999</v>
      </c>
      <c r="P119" s="14">
        <v>23.82</v>
      </c>
      <c r="Q119" s="14">
        <v>8.4049999999999994</v>
      </c>
      <c r="R119" s="14">
        <v>0.188</v>
      </c>
      <c r="S119" s="15">
        <f t="shared" si="7"/>
        <v>0.19974999999999987</v>
      </c>
      <c r="T119" s="14">
        <v>0.63800000000000001</v>
      </c>
      <c r="U119" s="31">
        <f t="shared" si="5"/>
        <v>0.34301075268817205</v>
      </c>
      <c r="V119" s="2"/>
      <c r="W119" s="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ht="12.75" customHeight="1" x14ac:dyDescent="0.2">
      <c r="A120" s="16"/>
      <c r="B120" s="12" t="s">
        <v>137</v>
      </c>
      <c r="C120" s="13">
        <v>44469.339299131942</v>
      </c>
      <c r="D120" s="14">
        <v>-62.558999999999997</v>
      </c>
      <c r="E120" s="14">
        <v>61.249000000000002</v>
      </c>
      <c r="F120" s="14">
        <v>15.673999999999999</v>
      </c>
      <c r="G120" s="14">
        <v>-34.981000000000002</v>
      </c>
      <c r="H120" s="14">
        <v>32.533000000000001</v>
      </c>
      <c r="I120" s="14">
        <v>9.5079999999999991</v>
      </c>
      <c r="J120" s="14">
        <v>0.188</v>
      </c>
      <c r="K120" s="15">
        <f t="shared" si="6"/>
        <v>0.1982708333333332</v>
      </c>
      <c r="L120" s="14">
        <v>-58.847999999999999</v>
      </c>
      <c r="M120" s="14">
        <v>64.95</v>
      </c>
      <c r="N120" s="14">
        <v>14.593999999999999</v>
      </c>
      <c r="O120" s="14">
        <v>-33.616999999999997</v>
      </c>
      <c r="P120" s="14">
        <v>26.273</v>
      </c>
      <c r="Q120" s="14">
        <v>8.6039999999999992</v>
      </c>
      <c r="R120" s="14">
        <v>0.188</v>
      </c>
      <c r="S120" s="15">
        <f t="shared" si="7"/>
        <v>0.19974999999999987</v>
      </c>
      <c r="T120" s="14" t="s">
        <v>26</v>
      </c>
      <c r="U120" s="31" t="e">
        <f t="shared" si="5"/>
        <v>#VALUE!</v>
      </c>
      <c r="V120" s="27"/>
      <c r="W120" s="27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</row>
    <row r="121" spans="1:42" ht="12.75" customHeight="1" x14ac:dyDescent="0.2">
      <c r="A121" s="16"/>
      <c r="B121" s="12" t="s">
        <v>138</v>
      </c>
      <c r="C121" s="13">
        <v>44469.360132407404</v>
      </c>
      <c r="D121" s="14">
        <v>-57.164999999999999</v>
      </c>
      <c r="E121" s="14">
        <v>58.988999999999997</v>
      </c>
      <c r="F121" s="14">
        <v>14.473000000000001</v>
      </c>
      <c r="G121" s="14">
        <v>-39.488</v>
      </c>
      <c r="H121" s="14">
        <v>24.163</v>
      </c>
      <c r="I121" s="14">
        <v>8.7789999999999999</v>
      </c>
      <c r="J121" s="14">
        <v>0.188</v>
      </c>
      <c r="K121" s="15">
        <f t="shared" si="6"/>
        <v>0.1982708333333332</v>
      </c>
      <c r="L121" s="14">
        <v>-52.164999999999999</v>
      </c>
      <c r="M121" s="14">
        <v>55.612000000000002</v>
      </c>
      <c r="N121" s="14">
        <v>13.135</v>
      </c>
      <c r="O121" s="14">
        <v>-30.771999999999998</v>
      </c>
      <c r="P121" s="14">
        <v>29.734000000000002</v>
      </c>
      <c r="Q121" s="14">
        <v>7.4749999999999996</v>
      </c>
      <c r="R121" s="14">
        <v>0.188</v>
      </c>
      <c r="S121" s="15">
        <f t="shared" si="7"/>
        <v>0.19974999999999987</v>
      </c>
      <c r="T121" s="14">
        <v>0.58099999999999996</v>
      </c>
      <c r="U121" s="31">
        <f t="shared" si="5"/>
        <v>0.31236559139784942</v>
      </c>
      <c r="V121" s="27"/>
      <c r="W121" s="27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</row>
    <row r="122" spans="1:42" ht="12.75" customHeight="1" x14ac:dyDescent="0.2">
      <c r="A122" s="16"/>
      <c r="B122" s="12" t="s">
        <v>139</v>
      </c>
      <c r="C122" s="13">
        <v>44469.380965682867</v>
      </c>
      <c r="D122" s="14">
        <v>-52.298000000000002</v>
      </c>
      <c r="E122" s="14">
        <v>58.158000000000001</v>
      </c>
      <c r="F122" s="14">
        <v>14.48</v>
      </c>
      <c r="G122" s="14">
        <v>-27.241</v>
      </c>
      <c r="H122" s="14">
        <v>31.135999999999999</v>
      </c>
      <c r="I122" s="14">
        <v>8.7289999999999992</v>
      </c>
      <c r="J122" s="14">
        <v>0.188</v>
      </c>
      <c r="K122" s="15">
        <f t="shared" si="6"/>
        <v>0.1982708333333332</v>
      </c>
      <c r="L122" s="14">
        <v>-53.966999999999999</v>
      </c>
      <c r="M122" s="14">
        <v>47.091000000000001</v>
      </c>
      <c r="N122" s="14">
        <v>13.964</v>
      </c>
      <c r="O122" s="14">
        <v>-21.949000000000002</v>
      </c>
      <c r="P122" s="14">
        <v>33.220999999999997</v>
      </c>
      <c r="Q122" s="14">
        <v>8.14</v>
      </c>
      <c r="R122" s="14">
        <v>0.188</v>
      </c>
      <c r="S122" s="15">
        <f t="shared" si="7"/>
        <v>0.19974999999999987</v>
      </c>
      <c r="T122" s="14" t="s">
        <v>26</v>
      </c>
      <c r="U122" s="31" t="e">
        <f t="shared" si="5"/>
        <v>#VALUE!</v>
      </c>
      <c r="V122" s="2"/>
      <c r="W122" s="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ht="12.75" customHeight="1" x14ac:dyDescent="0.2">
      <c r="A123" s="16"/>
      <c r="B123" s="12" t="s">
        <v>140</v>
      </c>
      <c r="C123" s="13">
        <v>44469.40179895833</v>
      </c>
      <c r="D123" s="14">
        <v>-54.55</v>
      </c>
      <c r="E123" s="14">
        <v>52.811</v>
      </c>
      <c r="F123" s="14">
        <v>14.348000000000001</v>
      </c>
      <c r="G123" s="14">
        <v>-32.915999999999997</v>
      </c>
      <c r="H123" s="14">
        <v>23.375</v>
      </c>
      <c r="I123" s="14">
        <v>8.6180000000000003</v>
      </c>
      <c r="J123" s="14">
        <v>0.188</v>
      </c>
      <c r="K123" s="15">
        <f t="shared" si="6"/>
        <v>0.1982708333333332</v>
      </c>
      <c r="L123" s="14">
        <v>-45.926000000000002</v>
      </c>
      <c r="M123" s="14">
        <v>49.762999999999998</v>
      </c>
      <c r="N123" s="14">
        <v>13.478999999999999</v>
      </c>
      <c r="O123" s="14">
        <v>-23.303000000000001</v>
      </c>
      <c r="P123" s="14">
        <v>24.835999999999999</v>
      </c>
      <c r="Q123" s="14">
        <v>7.6269999999999998</v>
      </c>
      <c r="R123" s="14">
        <v>0.188</v>
      </c>
      <c r="S123" s="15">
        <f t="shared" si="7"/>
        <v>0.19974999999999987</v>
      </c>
      <c r="T123" s="14">
        <v>0.56999999999999995</v>
      </c>
      <c r="U123" s="31">
        <f t="shared" si="5"/>
        <v>0.30645161290322576</v>
      </c>
      <c r="V123" s="2"/>
      <c r="W123" s="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ht="12.75" customHeight="1" x14ac:dyDescent="0.2">
      <c r="A124" s="16"/>
      <c r="B124" s="12" t="s">
        <v>141</v>
      </c>
      <c r="C124" s="13">
        <v>44469.422632233793</v>
      </c>
      <c r="D124" s="14">
        <v>-57.481000000000002</v>
      </c>
      <c r="E124" s="14">
        <v>58.716999999999999</v>
      </c>
      <c r="F124" s="14">
        <v>14.01</v>
      </c>
      <c r="G124" s="14">
        <v>-35.234000000000002</v>
      </c>
      <c r="H124" s="14">
        <v>26.609000000000002</v>
      </c>
      <c r="I124" s="14">
        <v>8.4930000000000003</v>
      </c>
      <c r="J124" s="14">
        <v>0.188</v>
      </c>
      <c r="K124" s="15">
        <f t="shared" si="6"/>
        <v>0.1982708333333332</v>
      </c>
      <c r="L124" s="14">
        <v>-45.19</v>
      </c>
      <c r="M124" s="14">
        <v>54.561999999999998</v>
      </c>
      <c r="N124" s="14">
        <v>13.518000000000001</v>
      </c>
      <c r="O124" s="14">
        <v>-29.055</v>
      </c>
      <c r="P124" s="14">
        <v>25.082000000000001</v>
      </c>
      <c r="Q124" s="14">
        <v>7.8170000000000002</v>
      </c>
      <c r="R124" s="14">
        <v>0.188</v>
      </c>
      <c r="S124" s="15">
        <f t="shared" si="7"/>
        <v>0.19974999999999987</v>
      </c>
      <c r="T124" s="14" t="s">
        <v>26</v>
      </c>
      <c r="U124" s="31" t="e">
        <f t="shared" si="5"/>
        <v>#VALUE!</v>
      </c>
      <c r="V124" s="2"/>
      <c r="W124" s="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ht="12.75" customHeight="1" x14ac:dyDescent="0.2">
      <c r="A125" s="16"/>
      <c r="B125" s="12" t="s">
        <v>142</v>
      </c>
      <c r="C125" s="13">
        <v>44469.443465509263</v>
      </c>
      <c r="D125" s="14">
        <v>-56.344999999999999</v>
      </c>
      <c r="E125" s="14">
        <v>54.716000000000001</v>
      </c>
      <c r="F125" s="14">
        <v>14.254</v>
      </c>
      <c r="G125" s="14">
        <v>-27.376000000000001</v>
      </c>
      <c r="H125" s="14">
        <v>24.925999999999998</v>
      </c>
      <c r="I125" s="14">
        <v>8.2590000000000003</v>
      </c>
      <c r="J125" s="14">
        <v>0.188</v>
      </c>
      <c r="K125" s="15">
        <f t="shared" si="6"/>
        <v>0.1982708333333332</v>
      </c>
      <c r="L125" s="14">
        <v>-44.636000000000003</v>
      </c>
      <c r="M125" s="14">
        <v>48.646999999999998</v>
      </c>
      <c r="N125" s="14">
        <v>12.737</v>
      </c>
      <c r="O125" s="14">
        <v>-23.524999999999999</v>
      </c>
      <c r="P125" s="14">
        <v>23.236999999999998</v>
      </c>
      <c r="Q125" s="14">
        <v>7.0970000000000004</v>
      </c>
      <c r="R125" s="14">
        <v>0.188</v>
      </c>
      <c r="S125" s="15">
        <f t="shared" si="7"/>
        <v>0.19974999999999987</v>
      </c>
      <c r="T125" s="14">
        <v>0.7</v>
      </c>
      <c r="U125" s="31">
        <f t="shared" si="5"/>
        <v>0.37634408602150532</v>
      </c>
      <c r="V125" s="2"/>
      <c r="W125" s="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ht="12.75" customHeight="1" x14ac:dyDescent="0.2">
      <c r="A126" s="16"/>
      <c r="B126" s="12" t="s">
        <v>143</v>
      </c>
      <c r="C126" s="13">
        <v>44469.464298784726</v>
      </c>
      <c r="D126" s="14">
        <v>-44.734000000000002</v>
      </c>
      <c r="E126" s="14">
        <v>52.651000000000003</v>
      </c>
      <c r="F126" s="14">
        <v>13.715999999999999</v>
      </c>
      <c r="G126" s="14">
        <v>-29.742000000000001</v>
      </c>
      <c r="H126" s="14">
        <v>26.099</v>
      </c>
      <c r="I126" s="14">
        <v>8.0030000000000001</v>
      </c>
      <c r="J126" s="14">
        <v>0.188</v>
      </c>
      <c r="K126" s="15">
        <f t="shared" si="6"/>
        <v>0.1982708333333332</v>
      </c>
      <c r="L126" s="14">
        <v>-47.317</v>
      </c>
      <c r="M126" s="14">
        <v>47.055</v>
      </c>
      <c r="N126" s="14">
        <v>12.788</v>
      </c>
      <c r="O126" s="14">
        <v>-23.027000000000001</v>
      </c>
      <c r="P126" s="14">
        <v>26.067</v>
      </c>
      <c r="Q126" s="14">
        <v>7.1920000000000002</v>
      </c>
      <c r="R126" s="14">
        <v>0.188</v>
      </c>
      <c r="S126" s="15">
        <f t="shared" si="7"/>
        <v>0.19974999999999987</v>
      </c>
      <c r="T126" s="14" t="s">
        <v>26</v>
      </c>
      <c r="U126" s="31" t="e">
        <f t="shared" si="5"/>
        <v>#VALUE!</v>
      </c>
      <c r="V126" s="27"/>
      <c r="W126" s="27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</row>
    <row r="127" spans="1:42" ht="12.75" customHeight="1" x14ac:dyDescent="0.2">
      <c r="A127" s="16"/>
      <c r="B127" s="12" t="s">
        <v>144</v>
      </c>
      <c r="C127" s="13">
        <v>44469.485132060188</v>
      </c>
      <c r="D127" s="14">
        <v>-53.459000000000003</v>
      </c>
      <c r="E127" s="14">
        <v>51.526000000000003</v>
      </c>
      <c r="F127" s="14">
        <v>13.474</v>
      </c>
      <c r="G127" s="14">
        <v>-26.988</v>
      </c>
      <c r="H127" s="14">
        <v>26.963000000000001</v>
      </c>
      <c r="I127" s="14">
        <v>7.6980000000000004</v>
      </c>
      <c r="J127" s="14">
        <v>0.188</v>
      </c>
      <c r="K127" s="15">
        <f t="shared" si="6"/>
        <v>0.1982708333333332</v>
      </c>
      <c r="L127" s="14">
        <v>-44.26</v>
      </c>
      <c r="M127" s="14">
        <v>61.085000000000001</v>
      </c>
      <c r="N127" s="14">
        <v>12.724</v>
      </c>
      <c r="O127" s="14">
        <v>-25.074999999999999</v>
      </c>
      <c r="P127" s="14">
        <v>26.210999999999999</v>
      </c>
      <c r="Q127" s="14">
        <v>6.992</v>
      </c>
      <c r="R127" s="14">
        <v>0.188</v>
      </c>
      <c r="S127" s="15">
        <f t="shared" si="7"/>
        <v>0.19974999999999987</v>
      </c>
      <c r="T127" s="14">
        <v>0.60899999999999999</v>
      </c>
      <c r="U127" s="31">
        <f t="shared" si="5"/>
        <v>0.32741935483870965</v>
      </c>
      <c r="V127" s="2"/>
      <c r="W127" s="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ht="12.75" customHeight="1" x14ac:dyDescent="0.2">
      <c r="A128" s="16"/>
      <c r="B128" s="12" t="s">
        <v>145</v>
      </c>
      <c r="C128" s="13">
        <v>44469.505965335651</v>
      </c>
      <c r="D128" s="14">
        <v>-52.156999999999996</v>
      </c>
      <c r="E128" s="14">
        <v>52.622999999999998</v>
      </c>
      <c r="F128" s="14">
        <v>13.414</v>
      </c>
      <c r="G128" s="14">
        <v>-28.553999999999998</v>
      </c>
      <c r="H128" s="14">
        <v>22.474</v>
      </c>
      <c r="I128" s="14">
        <v>7.4770000000000003</v>
      </c>
      <c r="J128" s="14">
        <v>0.188</v>
      </c>
      <c r="K128" s="15">
        <f t="shared" si="6"/>
        <v>0.1982708333333332</v>
      </c>
      <c r="L128" s="14">
        <v>-45.935000000000002</v>
      </c>
      <c r="M128" s="14">
        <v>41.676000000000002</v>
      </c>
      <c r="N128" s="14">
        <v>12.145</v>
      </c>
      <c r="O128" s="14">
        <v>-20.58</v>
      </c>
      <c r="P128" s="14">
        <v>24.510999999999999</v>
      </c>
      <c r="Q128" s="14">
        <v>6.64</v>
      </c>
      <c r="R128" s="14">
        <v>0.188</v>
      </c>
      <c r="S128" s="15">
        <f t="shared" si="7"/>
        <v>0.19974999999999987</v>
      </c>
      <c r="T128" s="14" t="s">
        <v>26</v>
      </c>
      <c r="U128" s="31" t="e">
        <f t="shared" si="5"/>
        <v>#VALUE!</v>
      </c>
      <c r="V128" s="2"/>
      <c r="W128" s="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ht="12.75" customHeight="1" x14ac:dyDescent="0.2">
      <c r="A129" s="16"/>
      <c r="B129" s="12" t="s">
        <v>146</v>
      </c>
      <c r="C129" s="13">
        <v>44469.526798611114</v>
      </c>
      <c r="D129" s="14">
        <v>-49.418999999999997</v>
      </c>
      <c r="E129" s="14">
        <v>45.107999999999997</v>
      </c>
      <c r="F129" s="14">
        <v>13.678000000000001</v>
      </c>
      <c r="G129" s="14">
        <v>-24.361000000000001</v>
      </c>
      <c r="H129" s="14">
        <v>24.343</v>
      </c>
      <c r="I129" s="14">
        <v>7.6580000000000004</v>
      </c>
      <c r="J129" s="14">
        <v>0.188</v>
      </c>
      <c r="K129" s="15">
        <f t="shared" si="6"/>
        <v>0.1982708333333332</v>
      </c>
      <c r="L129" s="14">
        <v>-43.857999999999997</v>
      </c>
      <c r="M129" s="14">
        <v>45.963999999999999</v>
      </c>
      <c r="N129" s="14">
        <v>12.042999999999999</v>
      </c>
      <c r="O129" s="14">
        <v>-22.812000000000001</v>
      </c>
      <c r="P129" s="14">
        <v>20.416</v>
      </c>
      <c r="Q129" s="14">
        <v>6.6059999999999999</v>
      </c>
      <c r="R129" s="14">
        <v>0.188</v>
      </c>
      <c r="S129" s="15">
        <f t="shared" si="7"/>
        <v>0.19974999999999987</v>
      </c>
      <c r="T129" s="14">
        <v>0.60499999999999998</v>
      </c>
      <c r="U129" s="31">
        <f t="shared" si="5"/>
        <v>0.32526881720430106</v>
      </c>
      <c r="V129" s="2"/>
      <c r="W129" s="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ht="12.75" customHeight="1" x14ac:dyDescent="0.2">
      <c r="A130" s="16"/>
      <c r="B130" s="12" t="s">
        <v>147</v>
      </c>
      <c r="C130" s="13">
        <v>44469.547631886577</v>
      </c>
      <c r="D130" s="14">
        <v>-51.052</v>
      </c>
      <c r="E130" s="14">
        <v>52.029000000000003</v>
      </c>
      <c r="F130" s="14">
        <v>13.672000000000001</v>
      </c>
      <c r="G130" s="14">
        <v>-29.698</v>
      </c>
      <c r="H130" s="14">
        <v>24.678000000000001</v>
      </c>
      <c r="I130" s="14">
        <v>7.569</v>
      </c>
      <c r="J130" s="14">
        <v>0.188</v>
      </c>
      <c r="K130" s="15">
        <f t="shared" si="6"/>
        <v>0.1982708333333332</v>
      </c>
      <c r="L130" s="14">
        <v>-46.207999999999998</v>
      </c>
      <c r="M130" s="14">
        <v>52.637</v>
      </c>
      <c r="N130" s="14">
        <v>12.225</v>
      </c>
      <c r="O130" s="14">
        <v>-20.571999999999999</v>
      </c>
      <c r="P130" s="14">
        <v>23.564</v>
      </c>
      <c r="Q130" s="14">
        <v>6.64</v>
      </c>
      <c r="R130" s="14">
        <v>0.188</v>
      </c>
      <c r="S130" s="15">
        <f t="shared" si="7"/>
        <v>0.19974999999999987</v>
      </c>
      <c r="T130" s="14" t="s">
        <v>26</v>
      </c>
      <c r="U130" s="31" t="e">
        <f t="shared" si="5"/>
        <v>#VALUE!</v>
      </c>
      <c r="V130" s="2"/>
      <c r="W130" s="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ht="12.75" customHeight="1" x14ac:dyDescent="0.2">
      <c r="A131" s="16"/>
      <c r="B131" s="12" t="s">
        <v>148</v>
      </c>
      <c r="C131" s="13">
        <v>44469.56846516204</v>
      </c>
      <c r="D131" s="14">
        <v>-51.616</v>
      </c>
      <c r="E131" s="14">
        <v>57.527000000000001</v>
      </c>
      <c r="F131" s="14">
        <v>14.686999999999999</v>
      </c>
      <c r="G131" s="14">
        <v>-22.303000000000001</v>
      </c>
      <c r="H131" s="14">
        <v>26.468</v>
      </c>
      <c r="I131" s="14">
        <v>7.4640000000000004</v>
      </c>
      <c r="J131" s="14">
        <v>0.188</v>
      </c>
      <c r="K131" s="15">
        <f t="shared" si="6"/>
        <v>0.1982708333333332</v>
      </c>
      <c r="L131" s="14">
        <v>-40.201999999999998</v>
      </c>
      <c r="M131" s="14">
        <v>52.058</v>
      </c>
      <c r="N131" s="14">
        <v>12.622999999999999</v>
      </c>
      <c r="O131" s="14">
        <v>-24.716999999999999</v>
      </c>
      <c r="P131" s="14">
        <v>22.88</v>
      </c>
      <c r="Q131" s="14">
        <v>6.5629999999999997</v>
      </c>
      <c r="R131" s="14">
        <v>0.188</v>
      </c>
      <c r="S131" s="15">
        <f t="shared" si="7"/>
        <v>0.19974999999999987</v>
      </c>
      <c r="T131" s="14">
        <v>0.747</v>
      </c>
      <c r="U131" s="31">
        <f t="shared" si="5"/>
        <v>0.40161290322580645</v>
      </c>
      <c r="V131" s="2"/>
      <c r="W131" s="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ht="12.75" customHeight="1" x14ac:dyDescent="0.2">
      <c r="A132" s="16"/>
      <c r="B132" s="12" t="s">
        <v>149</v>
      </c>
      <c r="C132" s="13">
        <v>44469.589298437502</v>
      </c>
      <c r="D132" s="14">
        <v>-67.076999999999998</v>
      </c>
      <c r="E132" s="14">
        <v>70.367999999999995</v>
      </c>
      <c r="F132" s="14">
        <v>17.672000000000001</v>
      </c>
      <c r="G132" s="14">
        <v>-32.18</v>
      </c>
      <c r="H132" s="14">
        <v>23.268999999999998</v>
      </c>
      <c r="I132" s="14">
        <v>8.0250000000000004</v>
      </c>
      <c r="J132" s="14">
        <v>0.188</v>
      </c>
      <c r="K132" s="15">
        <f t="shared" si="6"/>
        <v>0.1982708333333332</v>
      </c>
      <c r="L132" s="14">
        <v>-54.365000000000002</v>
      </c>
      <c r="M132" s="14">
        <v>74.789000000000001</v>
      </c>
      <c r="N132" s="14">
        <v>14.305</v>
      </c>
      <c r="O132" s="14">
        <v>-28.300999999999998</v>
      </c>
      <c r="P132" s="14">
        <v>26.248000000000001</v>
      </c>
      <c r="Q132" s="14">
        <v>6.665</v>
      </c>
      <c r="R132" s="14">
        <v>0.188</v>
      </c>
      <c r="S132" s="15">
        <f t="shared" si="7"/>
        <v>0.19974999999999987</v>
      </c>
      <c r="T132" s="14" t="s">
        <v>26</v>
      </c>
      <c r="U132" s="31" t="e">
        <f t="shared" si="5"/>
        <v>#VALUE!</v>
      </c>
      <c r="V132" s="2"/>
      <c r="W132" s="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ht="12.75" customHeight="1" x14ac:dyDescent="0.2">
      <c r="A133" s="16"/>
      <c r="B133" s="12" t="s">
        <v>150</v>
      </c>
      <c r="C133" s="13">
        <v>44469.610131712965</v>
      </c>
      <c r="D133" s="14">
        <v>-69.554000000000002</v>
      </c>
      <c r="E133" s="14">
        <v>70.531999999999996</v>
      </c>
      <c r="F133" s="14">
        <v>18.934999999999999</v>
      </c>
      <c r="G133" s="14">
        <v>-27.872</v>
      </c>
      <c r="H133" s="14">
        <v>27.045000000000002</v>
      </c>
      <c r="I133" s="14">
        <v>7.9610000000000003</v>
      </c>
      <c r="J133" s="14">
        <v>0.188</v>
      </c>
      <c r="K133" s="15">
        <f t="shared" si="6"/>
        <v>0.1982708333333332</v>
      </c>
      <c r="L133" s="14">
        <v>-56.759</v>
      </c>
      <c r="M133" s="14">
        <v>72.049000000000007</v>
      </c>
      <c r="N133" s="14">
        <v>15.965</v>
      </c>
      <c r="O133" s="14">
        <v>-24.033999999999999</v>
      </c>
      <c r="P133" s="14">
        <v>23.640999999999998</v>
      </c>
      <c r="Q133" s="14">
        <v>6.9260000000000002</v>
      </c>
      <c r="R133" s="14">
        <v>0.2</v>
      </c>
      <c r="S133" s="15">
        <f t="shared" si="7"/>
        <v>0.19974999999999987</v>
      </c>
      <c r="T133" s="14">
        <v>0.83599999999999997</v>
      </c>
      <c r="U133" s="31">
        <f t="shared" si="5"/>
        <v>0.44946236559139779</v>
      </c>
      <c r="V133" s="2"/>
      <c r="W133" s="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ht="12.75" customHeight="1" x14ac:dyDescent="0.2">
      <c r="A134" s="16"/>
      <c r="B134" s="12" t="s">
        <v>151</v>
      </c>
      <c r="C134" s="13">
        <v>44469.630964988428</v>
      </c>
      <c r="D134" s="14">
        <v>-75.64</v>
      </c>
      <c r="E134" s="14">
        <v>79.057000000000002</v>
      </c>
      <c r="F134" s="14">
        <v>20.895</v>
      </c>
      <c r="G134" s="14">
        <v>-33.451000000000001</v>
      </c>
      <c r="H134" s="14">
        <v>31.337</v>
      </c>
      <c r="I134" s="14">
        <v>8.8030000000000008</v>
      </c>
      <c r="J134" s="14">
        <v>0.188</v>
      </c>
      <c r="K134" s="15">
        <f t="shared" si="6"/>
        <v>0.1982708333333332</v>
      </c>
      <c r="L134" s="14">
        <v>-58.546999999999997</v>
      </c>
      <c r="M134" s="14">
        <v>73.031000000000006</v>
      </c>
      <c r="N134" s="14">
        <v>17.693000000000001</v>
      </c>
      <c r="O134" s="14">
        <v>-26.917000000000002</v>
      </c>
      <c r="P134" s="14">
        <v>21.146999999999998</v>
      </c>
      <c r="Q134" s="14">
        <v>7.54</v>
      </c>
      <c r="R134" s="14">
        <v>0.22500000000000001</v>
      </c>
      <c r="S134" s="15">
        <f t="shared" si="7"/>
        <v>0.19974999999999987</v>
      </c>
      <c r="T134" s="14" t="s">
        <v>26</v>
      </c>
      <c r="U134" s="31" t="e">
        <f t="shared" si="5"/>
        <v>#VALUE!</v>
      </c>
      <c r="V134" s="2"/>
      <c r="W134" s="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ht="12.75" customHeight="1" x14ac:dyDescent="0.2">
      <c r="A135" s="16"/>
      <c r="B135" s="12" t="s">
        <v>152</v>
      </c>
      <c r="C135" s="13">
        <v>44469.651798263891</v>
      </c>
      <c r="D135" s="14">
        <v>-70.989000000000004</v>
      </c>
      <c r="E135" s="14">
        <v>65.325000000000003</v>
      </c>
      <c r="F135" s="14">
        <v>19.468</v>
      </c>
      <c r="G135" s="14">
        <v>-36.832999999999998</v>
      </c>
      <c r="H135" s="14">
        <v>23.957000000000001</v>
      </c>
      <c r="I135" s="14">
        <v>8.6170000000000009</v>
      </c>
      <c r="J135" s="14">
        <v>0.22500000000000001</v>
      </c>
      <c r="K135" s="15">
        <f t="shared" si="6"/>
        <v>0.1982708333333332</v>
      </c>
      <c r="L135" s="14">
        <v>-52.366999999999997</v>
      </c>
      <c r="M135" s="14">
        <v>63.939</v>
      </c>
      <c r="N135" s="14">
        <v>14.276999999999999</v>
      </c>
      <c r="O135" s="14">
        <v>-22.623000000000001</v>
      </c>
      <c r="P135" s="14">
        <v>26.218</v>
      </c>
      <c r="Q135" s="14">
        <v>6.5190000000000001</v>
      </c>
      <c r="R135" s="14">
        <v>0.188</v>
      </c>
      <c r="S135" s="15">
        <f t="shared" si="7"/>
        <v>0.19974999999999987</v>
      </c>
      <c r="T135" s="14">
        <v>0.78600000000000003</v>
      </c>
      <c r="U135" s="31">
        <f t="shared" si="5"/>
        <v>0.42258064516129029</v>
      </c>
      <c r="V135" s="2"/>
      <c r="W135" s="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ht="12.75" customHeight="1" x14ac:dyDescent="0.2">
      <c r="A136" s="16"/>
      <c r="B136" s="12" t="s">
        <v>153</v>
      </c>
      <c r="C136" s="13">
        <v>44469.672631539353</v>
      </c>
      <c r="D136" s="14">
        <v>-64.162999999999997</v>
      </c>
      <c r="E136" s="14">
        <v>64.253</v>
      </c>
      <c r="F136" s="14">
        <v>17.056999999999999</v>
      </c>
      <c r="G136" s="14">
        <v>-28.425000000000001</v>
      </c>
      <c r="H136" s="14">
        <v>23.48</v>
      </c>
      <c r="I136" s="14">
        <v>7.4249999999999998</v>
      </c>
      <c r="J136" s="14">
        <v>0.2</v>
      </c>
      <c r="K136" s="15">
        <f t="shared" si="6"/>
        <v>0.1982708333333332</v>
      </c>
      <c r="L136" s="14">
        <v>-55.210999999999999</v>
      </c>
      <c r="M136" s="14">
        <v>49.23</v>
      </c>
      <c r="N136" s="14">
        <v>13.395</v>
      </c>
      <c r="O136" s="14">
        <v>-26.369</v>
      </c>
      <c r="P136" s="14">
        <v>16.170999999999999</v>
      </c>
      <c r="Q136" s="14">
        <v>6.3090000000000002</v>
      </c>
      <c r="R136" s="14">
        <v>0.2</v>
      </c>
      <c r="S136" s="15">
        <f t="shared" si="7"/>
        <v>0.19974999999999987</v>
      </c>
      <c r="T136" s="14" t="s">
        <v>26</v>
      </c>
      <c r="U136" s="31" t="e">
        <f t="shared" si="5"/>
        <v>#VALUE!</v>
      </c>
      <c r="V136" s="2"/>
      <c r="W136" s="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ht="12.75" customHeight="1" x14ac:dyDescent="0.2">
      <c r="A137" s="16"/>
      <c r="B137" s="12" t="s">
        <v>154</v>
      </c>
      <c r="C137" s="13">
        <v>44469.693464814816</v>
      </c>
      <c r="D137" s="14">
        <v>-57.991</v>
      </c>
      <c r="E137" s="14">
        <v>62.838999999999999</v>
      </c>
      <c r="F137" s="14">
        <v>15.347</v>
      </c>
      <c r="G137" s="14">
        <v>-27.126999999999999</v>
      </c>
      <c r="H137" s="14">
        <v>24.344999999999999</v>
      </c>
      <c r="I137" s="14">
        <v>6.8959999999999999</v>
      </c>
      <c r="J137" s="14">
        <v>0.22500000000000001</v>
      </c>
      <c r="K137" s="15">
        <f t="shared" si="6"/>
        <v>0.1982708333333332</v>
      </c>
      <c r="L137" s="14">
        <v>-44.984999999999999</v>
      </c>
      <c r="M137" s="14">
        <v>46.771000000000001</v>
      </c>
      <c r="N137" s="14">
        <v>12.478</v>
      </c>
      <c r="O137" s="14">
        <v>-21.616</v>
      </c>
      <c r="P137" s="14">
        <v>21.494</v>
      </c>
      <c r="Q137" s="14">
        <v>5.84</v>
      </c>
      <c r="R137" s="14">
        <v>0.22500000000000001</v>
      </c>
      <c r="S137" s="15">
        <f t="shared" si="7"/>
        <v>0.19974999999999987</v>
      </c>
      <c r="T137" s="14">
        <v>0.63</v>
      </c>
      <c r="U137" s="31">
        <f t="shared" ref="U137:U200" si="8">T137/1.86</f>
        <v>0.33870967741935482</v>
      </c>
      <c r="V137" s="2"/>
      <c r="W137" s="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ht="12.75" customHeight="1" x14ac:dyDescent="0.2">
      <c r="A138" s="16"/>
      <c r="B138" s="12" t="s">
        <v>155</v>
      </c>
      <c r="C138" s="13">
        <v>44469.714298090279</v>
      </c>
      <c r="D138" s="14">
        <v>-55.448999999999998</v>
      </c>
      <c r="E138" s="14">
        <v>62.767000000000003</v>
      </c>
      <c r="F138" s="14">
        <v>15.129</v>
      </c>
      <c r="G138" s="14">
        <v>-26.253</v>
      </c>
      <c r="H138" s="14">
        <v>24.887</v>
      </c>
      <c r="I138" s="14">
        <v>6.6669999999999998</v>
      </c>
      <c r="J138" s="14">
        <v>0.188</v>
      </c>
      <c r="K138" s="15">
        <f t="shared" si="6"/>
        <v>0.1982708333333332</v>
      </c>
      <c r="L138" s="14">
        <v>-46.003999999999998</v>
      </c>
      <c r="M138" s="14">
        <v>41.39</v>
      </c>
      <c r="N138" s="14">
        <v>12.666</v>
      </c>
      <c r="O138" s="14">
        <v>-18.225999999999999</v>
      </c>
      <c r="P138" s="14">
        <v>19.219000000000001</v>
      </c>
      <c r="Q138" s="14">
        <v>5.59</v>
      </c>
      <c r="R138" s="14">
        <v>0.2</v>
      </c>
      <c r="S138" s="15">
        <f t="shared" si="7"/>
        <v>0.19974999999999987</v>
      </c>
      <c r="T138" s="14" t="s">
        <v>26</v>
      </c>
      <c r="U138" s="31" t="e">
        <f t="shared" si="8"/>
        <v>#VALUE!</v>
      </c>
      <c r="V138" s="27"/>
      <c r="W138" s="27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</row>
    <row r="139" spans="1:42" ht="12.75" customHeight="1" x14ac:dyDescent="0.2">
      <c r="A139" s="16"/>
      <c r="B139" s="12" t="s">
        <v>156</v>
      </c>
      <c r="C139" s="13">
        <v>44469.735131365742</v>
      </c>
      <c r="D139" s="14">
        <v>-111.691</v>
      </c>
      <c r="E139" s="14">
        <v>91.629000000000005</v>
      </c>
      <c r="F139" s="14">
        <v>18.263999999999999</v>
      </c>
      <c r="G139" s="14">
        <v>-26.233000000000001</v>
      </c>
      <c r="H139" s="14">
        <v>35.715000000000003</v>
      </c>
      <c r="I139" s="14">
        <v>7.28</v>
      </c>
      <c r="J139" s="14">
        <v>0.188</v>
      </c>
      <c r="K139" s="15">
        <f t="shared" si="6"/>
        <v>0.1982708333333332</v>
      </c>
      <c r="L139" s="14">
        <v>-58.758000000000003</v>
      </c>
      <c r="M139" s="14">
        <v>59.427999999999997</v>
      </c>
      <c r="N139" s="14">
        <v>15.542</v>
      </c>
      <c r="O139" s="14">
        <v>-23.382000000000001</v>
      </c>
      <c r="P139" s="14">
        <v>20.292000000000002</v>
      </c>
      <c r="Q139" s="14">
        <v>6.4139999999999997</v>
      </c>
      <c r="R139" s="14">
        <v>0.22500000000000001</v>
      </c>
      <c r="S139" s="15">
        <f t="shared" si="7"/>
        <v>0.19974999999999987</v>
      </c>
      <c r="T139" s="14">
        <v>0.81599999999999995</v>
      </c>
      <c r="U139" s="31">
        <f t="shared" si="8"/>
        <v>0.43870967741935479</v>
      </c>
      <c r="V139" s="2"/>
      <c r="W139" s="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ht="12.75" customHeight="1" x14ac:dyDescent="0.2">
      <c r="A140" s="16"/>
      <c r="B140" s="12" t="s">
        <v>157</v>
      </c>
      <c r="C140" s="13">
        <v>44469.755964641205</v>
      </c>
      <c r="D140" s="14">
        <v>-87.381</v>
      </c>
      <c r="E140" s="14">
        <v>87.745999999999995</v>
      </c>
      <c r="F140" s="14">
        <v>22.646999999999998</v>
      </c>
      <c r="G140" s="14">
        <v>-37.917999999999999</v>
      </c>
      <c r="H140" s="14">
        <v>26.329000000000001</v>
      </c>
      <c r="I140" s="14">
        <v>8.7219999999999995</v>
      </c>
      <c r="J140" s="14">
        <v>0.22500000000000001</v>
      </c>
      <c r="K140" s="15">
        <f t="shared" si="6"/>
        <v>0.1982708333333332</v>
      </c>
      <c r="L140" s="14">
        <v>-73.210999999999999</v>
      </c>
      <c r="M140" s="14">
        <v>95.721000000000004</v>
      </c>
      <c r="N140" s="14">
        <v>19.524999999999999</v>
      </c>
      <c r="O140" s="14">
        <v>-33.991999999999997</v>
      </c>
      <c r="P140" s="14">
        <v>24.824999999999999</v>
      </c>
      <c r="Q140" s="14">
        <v>7.4809999999999999</v>
      </c>
      <c r="R140" s="14">
        <v>0.22500000000000001</v>
      </c>
      <c r="S140" s="15">
        <f t="shared" si="7"/>
        <v>0.19974999999999987</v>
      </c>
      <c r="T140" s="14" t="s">
        <v>26</v>
      </c>
      <c r="U140" s="31" t="e">
        <f t="shared" si="8"/>
        <v>#VALUE!</v>
      </c>
      <c r="V140" s="2"/>
      <c r="W140" s="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ht="12.75" customHeight="1" x14ac:dyDescent="0.2">
      <c r="A141" s="16"/>
      <c r="B141" s="12" t="s">
        <v>158</v>
      </c>
      <c r="C141" s="13">
        <v>44469.776797916667</v>
      </c>
      <c r="D141" s="14">
        <v>-125.373</v>
      </c>
      <c r="E141" s="14">
        <v>106.86199999999999</v>
      </c>
      <c r="F141" s="14">
        <v>33.14</v>
      </c>
      <c r="G141" s="14">
        <v>-42.216999999999999</v>
      </c>
      <c r="H141" s="14">
        <v>39.932000000000002</v>
      </c>
      <c r="I141" s="14">
        <v>12.391</v>
      </c>
      <c r="J141" s="14">
        <v>0.22500000000000001</v>
      </c>
      <c r="K141" s="15">
        <f t="shared" si="6"/>
        <v>0.1982708333333332</v>
      </c>
      <c r="L141" s="14">
        <v>-83.081000000000003</v>
      </c>
      <c r="M141" s="14">
        <v>81.543999999999997</v>
      </c>
      <c r="N141" s="14">
        <v>25.045000000000002</v>
      </c>
      <c r="O141" s="14">
        <v>-30.698</v>
      </c>
      <c r="P141" s="14">
        <v>32.088000000000001</v>
      </c>
      <c r="Q141" s="14">
        <v>9.73</v>
      </c>
      <c r="R141" s="14">
        <v>0.22500000000000001</v>
      </c>
      <c r="S141" s="15">
        <f t="shared" si="7"/>
        <v>0.19974999999999987</v>
      </c>
      <c r="T141" s="14">
        <v>2.4239999999999999</v>
      </c>
      <c r="U141" s="31">
        <f t="shared" si="8"/>
        <v>1.3032258064516129</v>
      </c>
      <c r="V141" s="2"/>
      <c r="W141" s="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ht="12.75" customHeight="1" x14ac:dyDescent="0.2">
      <c r="A142" s="16"/>
      <c r="B142" s="12" t="s">
        <v>159</v>
      </c>
      <c r="C142" s="13">
        <v>44469.79763119213</v>
      </c>
      <c r="D142" s="14">
        <v>-141.63999999999999</v>
      </c>
      <c r="E142" s="14">
        <v>154.85300000000001</v>
      </c>
      <c r="F142" s="14">
        <v>43.7</v>
      </c>
      <c r="G142" s="14">
        <v>-49.615000000000002</v>
      </c>
      <c r="H142" s="14">
        <v>58.122</v>
      </c>
      <c r="I142" s="14">
        <v>16.423999999999999</v>
      </c>
      <c r="J142" s="14">
        <v>0.22500000000000001</v>
      </c>
      <c r="K142" s="15">
        <f t="shared" si="6"/>
        <v>0.1982708333333332</v>
      </c>
      <c r="L142" s="14">
        <v>-135.15299999999999</v>
      </c>
      <c r="M142" s="14">
        <v>140.858</v>
      </c>
      <c r="N142" s="14">
        <v>37.219000000000001</v>
      </c>
      <c r="O142" s="14">
        <v>-56.692</v>
      </c>
      <c r="P142" s="14">
        <v>45.591000000000001</v>
      </c>
      <c r="Q142" s="14">
        <v>13.98</v>
      </c>
      <c r="R142" s="14">
        <v>0.22500000000000001</v>
      </c>
      <c r="S142" s="15">
        <f t="shared" si="7"/>
        <v>0.19974999999999987</v>
      </c>
      <c r="T142" s="14" t="s">
        <v>26</v>
      </c>
      <c r="U142" s="31" t="e">
        <f t="shared" si="8"/>
        <v>#VALUE!</v>
      </c>
      <c r="V142" s="2"/>
      <c r="W142" s="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ht="12.75" customHeight="1" x14ac:dyDescent="0.2">
      <c r="A143" s="16"/>
      <c r="B143" s="12" t="s">
        <v>160</v>
      </c>
      <c r="C143" s="13">
        <v>44469.818464467593</v>
      </c>
      <c r="D143" s="14">
        <v>-161.11699999999999</v>
      </c>
      <c r="E143" s="14">
        <v>139.876</v>
      </c>
      <c r="F143" s="14">
        <v>48.137</v>
      </c>
      <c r="G143" s="14">
        <v>-52.347999999999999</v>
      </c>
      <c r="H143" s="14">
        <v>58.408000000000001</v>
      </c>
      <c r="I143" s="14">
        <v>19.065000000000001</v>
      </c>
      <c r="J143" s="14">
        <v>0.22500000000000001</v>
      </c>
      <c r="K143" s="15">
        <f t="shared" si="6"/>
        <v>0.1982708333333332</v>
      </c>
      <c r="L143" s="14">
        <v>-150.62</v>
      </c>
      <c r="M143" s="14">
        <v>168.53200000000001</v>
      </c>
      <c r="N143" s="14">
        <v>43.478000000000002</v>
      </c>
      <c r="O143" s="14">
        <v>-66.95</v>
      </c>
      <c r="P143" s="14">
        <v>44.671999999999997</v>
      </c>
      <c r="Q143" s="14">
        <v>17.302</v>
      </c>
      <c r="R143" s="14">
        <v>0.22500000000000001</v>
      </c>
      <c r="S143" s="15">
        <f t="shared" si="7"/>
        <v>0.19974999999999987</v>
      </c>
      <c r="T143" s="14">
        <v>1.2549999999999999</v>
      </c>
      <c r="U143" s="31">
        <f t="shared" si="8"/>
        <v>0.67473118279569888</v>
      </c>
      <c r="V143" s="2"/>
      <c r="W143" s="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ht="12.75" customHeight="1" x14ac:dyDescent="0.2">
      <c r="A144" s="16"/>
      <c r="B144" s="12" t="s">
        <v>161</v>
      </c>
      <c r="C144" s="13">
        <v>44469.839297743056</v>
      </c>
      <c r="D144" s="14">
        <v>-193.07499999999999</v>
      </c>
      <c r="E144" s="14">
        <v>194.03200000000001</v>
      </c>
      <c r="F144" s="14">
        <v>59.962000000000003</v>
      </c>
      <c r="G144" s="14">
        <v>-63.124000000000002</v>
      </c>
      <c r="H144" s="14">
        <v>78.724000000000004</v>
      </c>
      <c r="I144" s="14">
        <v>24.465</v>
      </c>
      <c r="J144" s="14">
        <v>0.22500000000000001</v>
      </c>
      <c r="K144" s="15">
        <f t="shared" si="6"/>
        <v>0.1982708333333332</v>
      </c>
      <c r="L144" s="14">
        <v>-167.154</v>
      </c>
      <c r="M144" s="14">
        <v>172.489</v>
      </c>
      <c r="N144" s="14">
        <v>50.018000000000001</v>
      </c>
      <c r="O144" s="14">
        <v>-70.194000000000003</v>
      </c>
      <c r="P144" s="14">
        <v>56.344000000000001</v>
      </c>
      <c r="Q144" s="14">
        <v>20.167999999999999</v>
      </c>
      <c r="R144" s="14">
        <v>0.22500000000000001</v>
      </c>
      <c r="S144" s="15">
        <f t="shared" si="7"/>
        <v>0.19974999999999987</v>
      </c>
      <c r="T144" s="14" t="s">
        <v>26</v>
      </c>
      <c r="U144" s="31" t="e">
        <f t="shared" si="8"/>
        <v>#VALUE!</v>
      </c>
      <c r="V144" s="2"/>
      <c r="W144" s="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ht="12.75" customHeight="1" x14ac:dyDescent="0.2">
      <c r="A145" s="16"/>
      <c r="B145" s="12" t="s">
        <v>162</v>
      </c>
      <c r="C145" s="13">
        <v>44469.860131018519</v>
      </c>
      <c r="D145" s="14">
        <v>-269.74099999999999</v>
      </c>
      <c r="E145" s="14">
        <v>210.96299999999999</v>
      </c>
      <c r="F145" s="14">
        <v>68.741</v>
      </c>
      <c r="G145" s="14">
        <v>-92.731999999999999</v>
      </c>
      <c r="H145" s="14">
        <v>108.59699999999999</v>
      </c>
      <c r="I145" s="14">
        <v>29.597999999999999</v>
      </c>
      <c r="J145" s="14">
        <v>0.22500000000000001</v>
      </c>
      <c r="K145" s="15">
        <f t="shared" si="6"/>
        <v>0.1982708333333332</v>
      </c>
      <c r="L145" s="14">
        <v>-185.56800000000001</v>
      </c>
      <c r="M145" s="14">
        <v>204.995</v>
      </c>
      <c r="N145" s="14">
        <v>55.587000000000003</v>
      </c>
      <c r="O145" s="14">
        <v>-76.025000000000006</v>
      </c>
      <c r="P145" s="14">
        <v>68.281000000000006</v>
      </c>
      <c r="Q145" s="14">
        <v>23.902999999999999</v>
      </c>
      <c r="R145" s="14">
        <v>0.22500000000000001</v>
      </c>
      <c r="S145" s="15">
        <f t="shared" si="7"/>
        <v>0.19974999999999987</v>
      </c>
      <c r="T145" s="14">
        <v>1.8580000000000001</v>
      </c>
      <c r="U145" s="31">
        <f t="shared" si="8"/>
        <v>0.99892473118279568</v>
      </c>
      <c r="V145" s="2"/>
      <c r="W145" s="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ht="12.75" customHeight="1" x14ac:dyDescent="0.2">
      <c r="A146" s="16"/>
      <c r="B146" s="12" t="s">
        <v>163</v>
      </c>
      <c r="C146" s="13">
        <v>44469.880964293981</v>
      </c>
      <c r="D146" s="14">
        <v>-263.63900000000001</v>
      </c>
      <c r="E146" s="14">
        <v>218.011</v>
      </c>
      <c r="F146" s="14">
        <v>73.686999999999998</v>
      </c>
      <c r="G146" s="14">
        <v>-114.129</v>
      </c>
      <c r="H146" s="14">
        <v>90.88</v>
      </c>
      <c r="I146" s="14">
        <v>33.892000000000003</v>
      </c>
      <c r="J146" s="14">
        <v>0.22500000000000001</v>
      </c>
      <c r="K146" s="15">
        <f t="shared" si="6"/>
        <v>0.1982708333333332</v>
      </c>
      <c r="L146" s="14">
        <v>-224.643</v>
      </c>
      <c r="M146" s="14">
        <v>209.34299999999999</v>
      </c>
      <c r="N146" s="14">
        <v>58.555</v>
      </c>
      <c r="O146" s="14">
        <v>-81.88</v>
      </c>
      <c r="P146" s="14">
        <v>105.846</v>
      </c>
      <c r="Q146" s="14">
        <v>27.268000000000001</v>
      </c>
      <c r="R146" s="14">
        <v>0.22500000000000001</v>
      </c>
      <c r="S146" s="15">
        <f t="shared" si="7"/>
        <v>0.19974999999999987</v>
      </c>
      <c r="T146" s="14" t="s">
        <v>26</v>
      </c>
      <c r="U146" s="31" t="e">
        <f t="shared" si="8"/>
        <v>#VALUE!</v>
      </c>
      <c r="V146" s="2"/>
      <c r="W146" s="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ht="12.75" customHeight="1" x14ac:dyDescent="0.2">
      <c r="A147" s="16"/>
      <c r="B147" s="12" t="s">
        <v>164</v>
      </c>
      <c r="C147" s="13">
        <v>44469.901797569444</v>
      </c>
      <c r="D147" s="14">
        <v>-287.23700000000002</v>
      </c>
      <c r="E147" s="14">
        <v>227.64099999999999</v>
      </c>
      <c r="F147" s="14">
        <v>72.165000000000006</v>
      </c>
      <c r="G147" s="14">
        <v>-91.546000000000006</v>
      </c>
      <c r="H147" s="14">
        <v>124.40300000000001</v>
      </c>
      <c r="I147" s="14">
        <v>34.957999999999998</v>
      </c>
      <c r="J147" s="14">
        <v>0.22500000000000001</v>
      </c>
      <c r="K147" s="15">
        <f t="shared" si="6"/>
        <v>0.1982708333333332</v>
      </c>
      <c r="L147" s="14">
        <v>-206.874</v>
      </c>
      <c r="M147" s="14">
        <v>251.375</v>
      </c>
      <c r="N147" s="14">
        <v>59.363</v>
      </c>
      <c r="O147" s="14">
        <v>-115.502</v>
      </c>
      <c r="P147" s="14">
        <v>82.807000000000002</v>
      </c>
      <c r="Q147" s="14">
        <v>30.216000000000001</v>
      </c>
      <c r="R147" s="14">
        <v>0.22500000000000001</v>
      </c>
      <c r="S147" s="15">
        <f t="shared" si="7"/>
        <v>0.19974999999999987</v>
      </c>
      <c r="T147" s="14">
        <v>2.956</v>
      </c>
      <c r="U147" s="31">
        <f t="shared" si="8"/>
        <v>1.5892473118279569</v>
      </c>
      <c r="V147" s="2"/>
      <c r="W147" s="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ht="12.75" customHeight="1" x14ac:dyDescent="0.2">
      <c r="A148" s="16"/>
      <c r="B148" s="12" t="s">
        <v>165</v>
      </c>
      <c r="C148" s="13">
        <v>44469.922630844907</v>
      </c>
      <c r="D148" s="14">
        <v>-249.2</v>
      </c>
      <c r="E148" s="14">
        <v>219.63399999999999</v>
      </c>
      <c r="F148" s="14">
        <v>69.350999999999999</v>
      </c>
      <c r="G148" s="14">
        <v>-92.045000000000002</v>
      </c>
      <c r="H148" s="14">
        <v>113.437</v>
      </c>
      <c r="I148" s="14">
        <v>34.631999999999998</v>
      </c>
      <c r="J148" s="14">
        <v>0.22500000000000001</v>
      </c>
      <c r="K148" s="15">
        <f t="shared" si="6"/>
        <v>0.1982708333333332</v>
      </c>
      <c r="L148" s="14">
        <v>-222.37899999999999</v>
      </c>
      <c r="M148" s="14">
        <v>254.691</v>
      </c>
      <c r="N148" s="14">
        <v>60.003999999999998</v>
      </c>
      <c r="O148" s="14">
        <v>-101.042</v>
      </c>
      <c r="P148" s="14">
        <v>118.81</v>
      </c>
      <c r="Q148" s="14">
        <v>31.754999999999999</v>
      </c>
      <c r="R148" s="14">
        <v>0.22500000000000001</v>
      </c>
      <c r="S148" s="15">
        <f t="shared" si="7"/>
        <v>0.19974999999999987</v>
      </c>
      <c r="T148" s="14" t="s">
        <v>26</v>
      </c>
      <c r="U148" s="31" t="e">
        <f t="shared" si="8"/>
        <v>#VALUE!</v>
      </c>
      <c r="V148" s="2"/>
      <c r="W148" s="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ht="12.75" customHeight="1" x14ac:dyDescent="0.2">
      <c r="A149" s="16"/>
      <c r="B149" s="12" t="s">
        <v>166</v>
      </c>
      <c r="C149" s="13">
        <v>44469.94346412037</v>
      </c>
      <c r="D149" s="14">
        <v>-218.006</v>
      </c>
      <c r="E149" s="14">
        <v>204.91499999999999</v>
      </c>
      <c r="F149" s="14">
        <v>65.679000000000002</v>
      </c>
      <c r="G149" s="14">
        <v>-88.531999999999996</v>
      </c>
      <c r="H149" s="14">
        <v>107.04900000000001</v>
      </c>
      <c r="I149" s="14">
        <v>34.622</v>
      </c>
      <c r="J149" s="14">
        <v>0.22500000000000001</v>
      </c>
      <c r="K149" s="15">
        <f t="shared" si="6"/>
        <v>0.1982708333333332</v>
      </c>
      <c r="L149" s="14">
        <v>-204.16399999999999</v>
      </c>
      <c r="M149" s="14">
        <v>240.52699999999999</v>
      </c>
      <c r="N149" s="14">
        <v>60.395000000000003</v>
      </c>
      <c r="O149" s="14">
        <v>-100.58799999999999</v>
      </c>
      <c r="P149" s="14">
        <v>97.53</v>
      </c>
      <c r="Q149" s="14">
        <v>33.052999999999997</v>
      </c>
      <c r="R149" s="14">
        <v>0.2</v>
      </c>
      <c r="S149" s="15">
        <f t="shared" si="7"/>
        <v>0.19974999999999987</v>
      </c>
      <c r="T149" s="14">
        <v>2.9605999999999995</v>
      </c>
      <c r="U149" s="31">
        <f t="shared" si="8"/>
        <v>1.5917204301075265</v>
      </c>
      <c r="V149" s="2"/>
      <c r="W149" s="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ht="12.75" customHeight="1" x14ac:dyDescent="0.2">
      <c r="A150" s="16"/>
      <c r="B150" s="12" t="s">
        <v>167</v>
      </c>
      <c r="C150" s="13">
        <v>44469.964297395833</v>
      </c>
      <c r="D150" s="14">
        <v>-227.08600000000001</v>
      </c>
      <c r="E150" s="14">
        <v>210.09100000000001</v>
      </c>
      <c r="F150" s="14">
        <v>61.058</v>
      </c>
      <c r="G150" s="14">
        <v>-118.07299999999999</v>
      </c>
      <c r="H150" s="14">
        <v>98.284000000000006</v>
      </c>
      <c r="I150" s="14">
        <v>33.456000000000003</v>
      </c>
      <c r="J150" s="14">
        <v>0.22500000000000001</v>
      </c>
      <c r="K150" s="15">
        <f t="shared" si="6"/>
        <v>0.1982708333333332</v>
      </c>
      <c r="L150" s="14">
        <v>-194.26599999999999</v>
      </c>
      <c r="M150" s="14">
        <v>194.24700000000001</v>
      </c>
      <c r="N150" s="14">
        <v>55.875999999999998</v>
      </c>
      <c r="O150" s="14">
        <v>-104.548</v>
      </c>
      <c r="P150" s="14">
        <v>76.418000000000006</v>
      </c>
      <c r="Q150" s="14">
        <v>30.510999999999999</v>
      </c>
      <c r="R150" s="14">
        <v>0.2</v>
      </c>
      <c r="S150" s="15">
        <f t="shared" si="7"/>
        <v>0.19974999999999987</v>
      </c>
      <c r="T150" s="14" t="s">
        <v>26</v>
      </c>
      <c r="U150" s="31" t="e">
        <f t="shared" si="8"/>
        <v>#VALUE!</v>
      </c>
      <c r="V150" s="2"/>
      <c r="W150" s="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ht="12.75" customHeight="1" x14ac:dyDescent="0.2">
      <c r="A151" s="16"/>
      <c r="B151" s="12" t="s">
        <v>168</v>
      </c>
      <c r="C151" s="13">
        <v>44469.985130671295</v>
      </c>
      <c r="D151" s="14">
        <v>-200.65799999999999</v>
      </c>
      <c r="E151" s="14">
        <v>189.67</v>
      </c>
      <c r="F151" s="14">
        <v>57.753</v>
      </c>
      <c r="G151" s="14">
        <v>-97.599000000000004</v>
      </c>
      <c r="H151" s="14">
        <v>92.667000000000002</v>
      </c>
      <c r="I151" s="14">
        <v>33.100999999999999</v>
      </c>
      <c r="J151" s="14">
        <v>0.188</v>
      </c>
      <c r="K151" s="15">
        <f t="shared" si="6"/>
        <v>0.1982708333333332</v>
      </c>
      <c r="L151" s="14">
        <v>-172.40100000000001</v>
      </c>
      <c r="M151" s="14">
        <v>207.303</v>
      </c>
      <c r="N151" s="14">
        <v>50.747</v>
      </c>
      <c r="O151" s="14">
        <v>-93.191999999999993</v>
      </c>
      <c r="P151" s="14">
        <v>79.573999999999998</v>
      </c>
      <c r="Q151" s="14">
        <v>28.579000000000001</v>
      </c>
      <c r="R151" s="14">
        <v>0.2</v>
      </c>
      <c r="S151" s="15">
        <f t="shared" si="7"/>
        <v>0.19974999999999987</v>
      </c>
      <c r="T151" s="14">
        <v>2.5329999999999999</v>
      </c>
      <c r="U151" s="31">
        <f t="shared" si="8"/>
        <v>1.3618279569892473</v>
      </c>
      <c r="V151" s="2"/>
      <c r="W151" s="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ht="12.75" customHeight="1" x14ac:dyDescent="0.2">
      <c r="A152" s="20">
        <v>4</v>
      </c>
      <c r="B152" s="21" t="s">
        <v>169</v>
      </c>
      <c r="C152" s="13">
        <v>44470.005963946758</v>
      </c>
      <c r="D152" s="22">
        <v>-176.06899999999999</v>
      </c>
      <c r="E152" s="22">
        <v>193.376</v>
      </c>
      <c r="F152" s="22">
        <v>53.77</v>
      </c>
      <c r="G152" s="22">
        <v>-94.010999999999996</v>
      </c>
      <c r="H152" s="22">
        <v>97.209000000000003</v>
      </c>
      <c r="I152" s="22">
        <v>30.001000000000001</v>
      </c>
      <c r="J152" s="22">
        <v>0.2</v>
      </c>
      <c r="K152" s="23">
        <f>AVERAGE(J152:J199)</f>
        <v>0.21445833333333317</v>
      </c>
      <c r="L152" s="22">
        <v>-175.50800000000001</v>
      </c>
      <c r="M152" s="22">
        <v>203.26400000000001</v>
      </c>
      <c r="N152" s="22">
        <v>51.042999999999999</v>
      </c>
      <c r="O152" s="22">
        <v>-106.97199999999999</v>
      </c>
      <c r="P152" s="22">
        <v>77.540999999999997</v>
      </c>
      <c r="Q152" s="22">
        <v>29.602</v>
      </c>
      <c r="R152" s="22">
        <v>0.2</v>
      </c>
      <c r="S152" s="23">
        <f>AVERAGE(R152:R199)</f>
        <v>0.21470833333333314</v>
      </c>
      <c r="T152" s="22" t="s">
        <v>26</v>
      </c>
      <c r="U152" s="31" t="e">
        <f t="shared" si="8"/>
        <v>#VALUE!</v>
      </c>
      <c r="V152" s="25"/>
      <c r="W152" s="25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</row>
    <row r="153" spans="1:42" ht="12.75" customHeight="1" x14ac:dyDescent="0.2">
      <c r="A153" s="16"/>
      <c r="B153" s="21" t="s">
        <v>170</v>
      </c>
      <c r="C153" s="13">
        <v>44470.026797222221</v>
      </c>
      <c r="D153" s="22">
        <v>-184.72300000000001</v>
      </c>
      <c r="E153" s="22">
        <v>177.56800000000001</v>
      </c>
      <c r="F153" s="22">
        <v>52.720999999999997</v>
      </c>
      <c r="G153" s="22">
        <v>-87.376999999999995</v>
      </c>
      <c r="H153" s="22">
        <v>84.492000000000004</v>
      </c>
      <c r="I153" s="22">
        <v>28.922999999999998</v>
      </c>
      <c r="J153" s="22">
        <v>0.2</v>
      </c>
      <c r="K153" s="23">
        <f t="shared" ref="K153:K199" si="9">K152</f>
        <v>0.21445833333333317</v>
      </c>
      <c r="L153" s="22">
        <v>-166.571</v>
      </c>
      <c r="M153" s="22">
        <v>169.40299999999999</v>
      </c>
      <c r="N153" s="22">
        <v>48.780999999999999</v>
      </c>
      <c r="O153" s="22">
        <v>-94.075999999999993</v>
      </c>
      <c r="P153" s="22">
        <v>81.852000000000004</v>
      </c>
      <c r="Q153" s="22">
        <v>28.838999999999999</v>
      </c>
      <c r="R153" s="22">
        <v>0.188</v>
      </c>
      <c r="S153" s="23">
        <f t="shared" ref="S153:S199" si="10">S152</f>
        <v>0.21470833333333314</v>
      </c>
      <c r="T153" s="22">
        <v>1.835</v>
      </c>
      <c r="U153" s="31">
        <f t="shared" si="8"/>
        <v>0.98655913978494614</v>
      </c>
      <c r="V153" s="25"/>
      <c r="W153" s="25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</row>
    <row r="154" spans="1:42" ht="12.75" customHeight="1" x14ac:dyDescent="0.2">
      <c r="A154" s="16"/>
      <c r="B154" s="21" t="s">
        <v>171</v>
      </c>
      <c r="C154" s="13">
        <v>44470.047630497684</v>
      </c>
      <c r="D154" s="22">
        <v>-191.81800000000001</v>
      </c>
      <c r="E154" s="22">
        <v>209.78800000000001</v>
      </c>
      <c r="F154" s="22">
        <v>52.423999999999999</v>
      </c>
      <c r="G154" s="22">
        <v>-100.68600000000001</v>
      </c>
      <c r="H154" s="22">
        <v>95.221999999999994</v>
      </c>
      <c r="I154" s="22">
        <v>28.399000000000001</v>
      </c>
      <c r="J154" s="22">
        <v>0.22500000000000001</v>
      </c>
      <c r="K154" s="23">
        <f t="shared" si="9"/>
        <v>0.21445833333333317</v>
      </c>
      <c r="L154" s="22">
        <v>-188.142</v>
      </c>
      <c r="M154" s="22">
        <v>208.75700000000001</v>
      </c>
      <c r="N154" s="22">
        <v>49.813000000000002</v>
      </c>
      <c r="O154" s="22">
        <v>-89.09</v>
      </c>
      <c r="P154" s="22">
        <v>103.675</v>
      </c>
      <c r="Q154" s="22">
        <v>29.436</v>
      </c>
      <c r="R154" s="22">
        <v>0.188</v>
      </c>
      <c r="S154" s="23">
        <f t="shared" si="10"/>
        <v>0.21470833333333314</v>
      </c>
      <c r="T154" s="22" t="s">
        <v>26</v>
      </c>
      <c r="U154" s="31" t="e">
        <f t="shared" si="8"/>
        <v>#VALUE!</v>
      </c>
      <c r="V154" s="25"/>
      <c r="W154" s="25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</row>
    <row r="155" spans="1:42" ht="12.75" customHeight="1" x14ac:dyDescent="0.2">
      <c r="A155" s="16"/>
      <c r="B155" s="21" t="s">
        <v>172</v>
      </c>
      <c r="C155" s="13">
        <v>44470.068463773147</v>
      </c>
      <c r="D155" s="22">
        <v>-170.81299999999999</v>
      </c>
      <c r="E155" s="22">
        <v>181.994</v>
      </c>
      <c r="F155" s="22">
        <v>48.771000000000001</v>
      </c>
      <c r="G155" s="22">
        <v>-110.11799999999999</v>
      </c>
      <c r="H155" s="22">
        <v>87.983999999999995</v>
      </c>
      <c r="I155" s="22">
        <v>27.629000000000001</v>
      </c>
      <c r="J155" s="22">
        <v>0.2</v>
      </c>
      <c r="K155" s="23">
        <f t="shared" si="9"/>
        <v>0.21445833333333317</v>
      </c>
      <c r="L155" s="22">
        <v>-133.13999999999999</v>
      </c>
      <c r="M155" s="22">
        <v>178.11</v>
      </c>
      <c r="N155" s="22">
        <v>46.613</v>
      </c>
      <c r="O155" s="22">
        <v>-88.283000000000001</v>
      </c>
      <c r="P155" s="22">
        <v>82.281000000000006</v>
      </c>
      <c r="Q155" s="22">
        <v>28.867999999999999</v>
      </c>
      <c r="R155" s="22">
        <v>0.2</v>
      </c>
      <c r="S155" s="23">
        <f t="shared" si="10"/>
        <v>0.21470833333333314</v>
      </c>
      <c r="T155" s="22">
        <v>1.82</v>
      </c>
      <c r="U155" s="31">
        <f t="shared" si="8"/>
        <v>0.978494623655914</v>
      </c>
      <c r="V155" s="25"/>
      <c r="W155" s="25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</row>
    <row r="156" spans="1:42" ht="12.75" customHeight="1" x14ac:dyDescent="0.2">
      <c r="A156" s="16"/>
      <c r="B156" s="21" t="s">
        <v>173</v>
      </c>
      <c r="C156" s="13">
        <v>44470.089297048609</v>
      </c>
      <c r="D156" s="22">
        <v>-156.74</v>
      </c>
      <c r="E156" s="22">
        <v>178.57300000000001</v>
      </c>
      <c r="F156" s="22">
        <v>50.027999999999999</v>
      </c>
      <c r="G156" s="22">
        <v>-99.221999999999994</v>
      </c>
      <c r="H156" s="22">
        <v>96.915999999999997</v>
      </c>
      <c r="I156" s="22">
        <v>27.777000000000001</v>
      </c>
      <c r="J156" s="22">
        <v>0.188</v>
      </c>
      <c r="K156" s="23">
        <f t="shared" si="9"/>
        <v>0.21445833333333317</v>
      </c>
      <c r="L156" s="22">
        <v>-138.09299999999999</v>
      </c>
      <c r="M156" s="22">
        <v>180.87700000000001</v>
      </c>
      <c r="N156" s="22">
        <v>46.273000000000003</v>
      </c>
      <c r="O156" s="22">
        <v>-96.49</v>
      </c>
      <c r="P156" s="22">
        <v>69.233000000000004</v>
      </c>
      <c r="Q156" s="22">
        <v>27.978000000000002</v>
      </c>
      <c r="R156" s="22">
        <v>0.2</v>
      </c>
      <c r="S156" s="23">
        <f t="shared" si="10"/>
        <v>0.21470833333333314</v>
      </c>
      <c r="T156" s="22" t="s">
        <v>26</v>
      </c>
      <c r="U156" s="31" t="e">
        <f t="shared" si="8"/>
        <v>#VALUE!</v>
      </c>
      <c r="V156" s="25"/>
      <c r="W156" s="25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</row>
    <row r="157" spans="1:42" ht="12.75" customHeight="1" x14ac:dyDescent="0.2">
      <c r="A157" s="16"/>
      <c r="B157" s="21" t="s">
        <v>174</v>
      </c>
      <c r="C157" s="13">
        <v>44470.110130324072</v>
      </c>
      <c r="D157" s="22">
        <v>-175.154</v>
      </c>
      <c r="E157" s="22">
        <v>181.19800000000001</v>
      </c>
      <c r="F157" s="22">
        <v>50.085000000000001</v>
      </c>
      <c r="G157" s="22">
        <v>-93.998999999999995</v>
      </c>
      <c r="H157" s="22">
        <v>83.805000000000007</v>
      </c>
      <c r="I157" s="22">
        <v>29.077999999999999</v>
      </c>
      <c r="J157" s="22">
        <v>0.188</v>
      </c>
      <c r="K157" s="23">
        <f t="shared" si="9"/>
        <v>0.21445833333333317</v>
      </c>
      <c r="L157" s="22">
        <v>-156.42500000000001</v>
      </c>
      <c r="M157" s="22">
        <v>191.62899999999999</v>
      </c>
      <c r="N157" s="22">
        <v>44.107999999999997</v>
      </c>
      <c r="O157" s="22">
        <v>-84.376000000000005</v>
      </c>
      <c r="P157" s="22">
        <v>69.706999999999994</v>
      </c>
      <c r="Q157" s="22">
        <v>26.798999999999999</v>
      </c>
      <c r="R157" s="22">
        <v>0.22500000000000001</v>
      </c>
      <c r="S157" s="23">
        <f t="shared" si="10"/>
        <v>0.21470833333333314</v>
      </c>
      <c r="T157" s="22">
        <v>2.125</v>
      </c>
      <c r="U157" s="31">
        <f t="shared" si="8"/>
        <v>1.1424731182795698</v>
      </c>
      <c r="V157" s="25"/>
      <c r="W157" s="25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</row>
    <row r="158" spans="1:42" ht="12.75" customHeight="1" x14ac:dyDescent="0.2">
      <c r="A158" s="16"/>
      <c r="B158" s="21" t="s">
        <v>175</v>
      </c>
      <c r="C158" s="13">
        <v>44470.130963599535</v>
      </c>
      <c r="D158" s="22">
        <v>-181.69499999999999</v>
      </c>
      <c r="E158" s="22">
        <v>234.86799999999999</v>
      </c>
      <c r="F158" s="22">
        <v>50.741999999999997</v>
      </c>
      <c r="G158" s="22">
        <v>-111.607</v>
      </c>
      <c r="H158" s="22">
        <v>120.59</v>
      </c>
      <c r="I158" s="22">
        <v>29.120999999999999</v>
      </c>
      <c r="J158" s="22">
        <v>0.2</v>
      </c>
      <c r="K158" s="23">
        <f t="shared" si="9"/>
        <v>0.21445833333333317</v>
      </c>
      <c r="L158" s="22">
        <v>-164.46600000000001</v>
      </c>
      <c r="M158" s="22">
        <v>189.59700000000001</v>
      </c>
      <c r="N158" s="22">
        <v>46.402999999999999</v>
      </c>
      <c r="O158" s="22">
        <v>-88.347999999999999</v>
      </c>
      <c r="P158" s="22">
        <v>101.92700000000001</v>
      </c>
      <c r="Q158" s="22">
        <v>28.565999999999999</v>
      </c>
      <c r="R158" s="22">
        <v>0.188</v>
      </c>
      <c r="S158" s="23">
        <f t="shared" si="10"/>
        <v>0.21470833333333314</v>
      </c>
      <c r="T158" s="22" t="s">
        <v>26</v>
      </c>
      <c r="U158" s="31" t="e">
        <f t="shared" si="8"/>
        <v>#VALUE!</v>
      </c>
      <c r="V158" s="25"/>
      <c r="W158" s="25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</row>
    <row r="159" spans="1:42" ht="12.75" customHeight="1" x14ac:dyDescent="0.2">
      <c r="A159" s="16"/>
      <c r="B159" s="21" t="s">
        <v>176</v>
      </c>
      <c r="C159" s="13">
        <v>44470.151796874998</v>
      </c>
      <c r="D159" s="22">
        <v>-158.14099999999999</v>
      </c>
      <c r="E159" s="22">
        <v>155.001</v>
      </c>
      <c r="F159" s="22">
        <v>49.734000000000002</v>
      </c>
      <c r="G159" s="22">
        <v>-105.006</v>
      </c>
      <c r="H159" s="22">
        <v>77.055000000000007</v>
      </c>
      <c r="I159" s="22">
        <v>29.288</v>
      </c>
      <c r="J159" s="22">
        <v>0.188</v>
      </c>
      <c r="K159" s="23">
        <f t="shared" si="9"/>
        <v>0.21445833333333317</v>
      </c>
      <c r="L159" s="22">
        <v>-139.71299999999999</v>
      </c>
      <c r="M159" s="22">
        <v>174.964</v>
      </c>
      <c r="N159" s="22">
        <v>43.951000000000001</v>
      </c>
      <c r="O159" s="22">
        <v>-80.513000000000005</v>
      </c>
      <c r="P159" s="22">
        <v>76.593000000000004</v>
      </c>
      <c r="Q159" s="22">
        <v>25.335999999999999</v>
      </c>
      <c r="R159" s="22">
        <v>0.188</v>
      </c>
      <c r="S159" s="23">
        <f t="shared" si="10"/>
        <v>0.21470833333333314</v>
      </c>
      <c r="T159" s="22">
        <v>1.623</v>
      </c>
      <c r="U159" s="31">
        <f t="shared" si="8"/>
        <v>0.8725806451612903</v>
      </c>
      <c r="V159" s="25"/>
      <c r="W159" s="25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</row>
    <row r="160" spans="1:42" ht="12.75" customHeight="1" x14ac:dyDescent="0.2">
      <c r="A160" s="16"/>
      <c r="B160" s="21" t="s">
        <v>177</v>
      </c>
      <c r="C160" s="13">
        <v>44470.17263015046</v>
      </c>
      <c r="D160" s="22">
        <v>-162.40299999999999</v>
      </c>
      <c r="E160" s="22">
        <v>183.55199999999999</v>
      </c>
      <c r="F160" s="22">
        <v>49.526000000000003</v>
      </c>
      <c r="G160" s="22">
        <v>-106.81699999999999</v>
      </c>
      <c r="H160" s="22">
        <v>79.84</v>
      </c>
      <c r="I160" s="22">
        <v>28.638999999999999</v>
      </c>
      <c r="J160" s="22">
        <v>0.21299999999999999</v>
      </c>
      <c r="K160" s="23">
        <f t="shared" si="9"/>
        <v>0.21445833333333317</v>
      </c>
      <c r="L160" s="22">
        <v>-157.04300000000001</v>
      </c>
      <c r="M160" s="22">
        <v>162.83799999999999</v>
      </c>
      <c r="N160" s="22">
        <v>46.136000000000003</v>
      </c>
      <c r="O160" s="22">
        <v>-97.664000000000001</v>
      </c>
      <c r="P160" s="22">
        <v>86.837000000000003</v>
      </c>
      <c r="Q160" s="22">
        <v>27.408999999999999</v>
      </c>
      <c r="R160" s="22">
        <v>0.2</v>
      </c>
      <c r="S160" s="23">
        <f t="shared" si="10"/>
        <v>0.21470833333333314</v>
      </c>
      <c r="T160" s="22" t="s">
        <v>26</v>
      </c>
      <c r="U160" s="31" t="e">
        <f t="shared" si="8"/>
        <v>#VALUE!</v>
      </c>
      <c r="V160" s="25"/>
      <c r="W160" s="25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</row>
    <row r="161" spans="1:42" ht="12.75" customHeight="1" x14ac:dyDescent="0.2">
      <c r="A161" s="16"/>
      <c r="B161" s="21" t="s">
        <v>178</v>
      </c>
      <c r="C161" s="13">
        <v>44470.193463425923</v>
      </c>
      <c r="D161" s="22">
        <v>-179.20400000000001</v>
      </c>
      <c r="E161" s="22">
        <v>232.61</v>
      </c>
      <c r="F161" s="22">
        <v>50.597000000000001</v>
      </c>
      <c r="G161" s="22">
        <v>-101.562</v>
      </c>
      <c r="H161" s="22">
        <v>120.98099999999999</v>
      </c>
      <c r="I161" s="22">
        <v>29.297999999999998</v>
      </c>
      <c r="J161" s="22">
        <v>0.188</v>
      </c>
      <c r="K161" s="23">
        <f t="shared" si="9"/>
        <v>0.21445833333333317</v>
      </c>
      <c r="L161" s="22">
        <v>-138.435</v>
      </c>
      <c r="M161" s="22">
        <v>177.529</v>
      </c>
      <c r="N161" s="22">
        <v>45.597999999999999</v>
      </c>
      <c r="O161" s="22">
        <v>-82.835999999999999</v>
      </c>
      <c r="P161" s="22">
        <v>78.046000000000006</v>
      </c>
      <c r="Q161" s="22">
        <v>26.318000000000001</v>
      </c>
      <c r="R161" s="22">
        <v>0.188</v>
      </c>
      <c r="S161" s="23">
        <f t="shared" si="10"/>
        <v>0.21470833333333314</v>
      </c>
      <c r="T161" s="22">
        <v>1.573</v>
      </c>
      <c r="U161" s="31">
        <f t="shared" si="8"/>
        <v>0.84569892473118269</v>
      </c>
      <c r="V161" s="25"/>
      <c r="W161" s="25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</row>
    <row r="162" spans="1:42" ht="12.75" customHeight="1" x14ac:dyDescent="0.2">
      <c r="A162" s="16"/>
      <c r="B162" s="21" t="s">
        <v>179</v>
      </c>
      <c r="C162" s="13">
        <v>44470.214296701386</v>
      </c>
      <c r="D162" s="22">
        <v>-154.60400000000001</v>
      </c>
      <c r="E162" s="22">
        <v>180.11199999999999</v>
      </c>
      <c r="F162" s="22">
        <v>48.915999999999997</v>
      </c>
      <c r="G162" s="22">
        <v>-102.29300000000001</v>
      </c>
      <c r="H162" s="22">
        <v>85.296000000000006</v>
      </c>
      <c r="I162" s="22">
        <v>28.12</v>
      </c>
      <c r="J162" s="22">
        <v>0.188</v>
      </c>
      <c r="K162" s="23">
        <f t="shared" si="9"/>
        <v>0.21445833333333317</v>
      </c>
      <c r="L162" s="22">
        <v>-129.584</v>
      </c>
      <c r="M162" s="22">
        <v>180.97300000000001</v>
      </c>
      <c r="N162" s="22">
        <v>42.616</v>
      </c>
      <c r="O162" s="22">
        <v>-76.671999999999997</v>
      </c>
      <c r="P162" s="22">
        <v>86.356999999999999</v>
      </c>
      <c r="Q162" s="22">
        <v>24.574999999999999</v>
      </c>
      <c r="R162" s="22">
        <v>0.2</v>
      </c>
      <c r="S162" s="23">
        <f t="shared" si="10"/>
        <v>0.21470833333333314</v>
      </c>
      <c r="T162" s="22" t="s">
        <v>26</v>
      </c>
      <c r="U162" s="31" t="e">
        <f t="shared" si="8"/>
        <v>#VALUE!</v>
      </c>
      <c r="V162" s="25"/>
      <c r="W162" s="25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</row>
    <row r="163" spans="1:42" ht="12.75" customHeight="1" x14ac:dyDescent="0.2">
      <c r="A163" s="16"/>
      <c r="B163" s="21" t="s">
        <v>180</v>
      </c>
      <c r="C163" s="13">
        <v>44470.235129976849</v>
      </c>
      <c r="D163" s="22">
        <v>-153.24199999999999</v>
      </c>
      <c r="E163" s="22">
        <v>170.703</v>
      </c>
      <c r="F163" s="22">
        <v>47.692</v>
      </c>
      <c r="G163" s="22">
        <v>-97.177999999999997</v>
      </c>
      <c r="H163" s="22">
        <v>72.787999999999997</v>
      </c>
      <c r="I163" s="22">
        <v>27.062000000000001</v>
      </c>
      <c r="J163" s="22">
        <v>0.188</v>
      </c>
      <c r="K163" s="23">
        <f t="shared" si="9"/>
        <v>0.21445833333333317</v>
      </c>
      <c r="L163" s="22">
        <v>-124.77500000000001</v>
      </c>
      <c r="M163" s="22">
        <v>158.084</v>
      </c>
      <c r="N163" s="22">
        <v>44.631</v>
      </c>
      <c r="O163" s="22">
        <v>-84.375</v>
      </c>
      <c r="P163" s="22">
        <v>65.260000000000005</v>
      </c>
      <c r="Q163" s="22">
        <v>26.064</v>
      </c>
      <c r="R163" s="22">
        <v>0.2</v>
      </c>
      <c r="S163" s="23">
        <f t="shared" si="10"/>
        <v>0.21470833333333314</v>
      </c>
      <c r="T163" s="22">
        <v>3.0659999999999998</v>
      </c>
      <c r="U163" s="31">
        <f t="shared" si="8"/>
        <v>1.6483870967741934</v>
      </c>
      <c r="V163" s="25"/>
      <c r="W163" s="25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</row>
    <row r="164" spans="1:42" ht="12.75" customHeight="1" x14ac:dyDescent="0.2">
      <c r="A164" s="16"/>
      <c r="B164" s="21" t="s">
        <v>181</v>
      </c>
      <c r="C164" s="13">
        <v>44470.255963252312</v>
      </c>
      <c r="D164" s="22">
        <v>-172.03</v>
      </c>
      <c r="E164" s="22">
        <v>198.81399999999999</v>
      </c>
      <c r="F164" s="22">
        <v>51.564999999999998</v>
      </c>
      <c r="G164" s="22">
        <v>-102.036</v>
      </c>
      <c r="H164" s="22">
        <v>85.123999999999995</v>
      </c>
      <c r="I164" s="22">
        <v>28.914999999999999</v>
      </c>
      <c r="J164" s="22">
        <v>0.188</v>
      </c>
      <c r="K164" s="23">
        <f t="shared" si="9"/>
        <v>0.21445833333333317</v>
      </c>
      <c r="L164" s="22">
        <v>-139.398</v>
      </c>
      <c r="M164" s="22">
        <v>162.905</v>
      </c>
      <c r="N164" s="22">
        <v>46.314</v>
      </c>
      <c r="O164" s="22">
        <v>-93.233000000000004</v>
      </c>
      <c r="P164" s="22">
        <v>75.674000000000007</v>
      </c>
      <c r="Q164" s="22">
        <v>26.724</v>
      </c>
      <c r="R164" s="22">
        <v>0.2</v>
      </c>
      <c r="S164" s="23">
        <f t="shared" si="10"/>
        <v>0.21470833333333314</v>
      </c>
      <c r="T164" s="22" t="s">
        <v>26</v>
      </c>
      <c r="U164" s="31" t="e">
        <f t="shared" si="8"/>
        <v>#VALUE!</v>
      </c>
      <c r="V164" s="25"/>
      <c r="W164" s="25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</row>
    <row r="165" spans="1:42" ht="12.75" customHeight="1" x14ac:dyDescent="0.2">
      <c r="A165" s="16"/>
      <c r="B165" s="21" t="s">
        <v>182</v>
      </c>
      <c r="C165" s="13">
        <v>44470.276796527774</v>
      </c>
      <c r="D165" s="22">
        <v>-175.988</v>
      </c>
      <c r="E165" s="22">
        <v>166.255</v>
      </c>
      <c r="F165" s="22">
        <v>47.987000000000002</v>
      </c>
      <c r="G165" s="22">
        <v>-79.281999999999996</v>
      </c>
      <c r="H165" s="22">
        <v>95.162000000000006</v>
      </c>
      <c r="I165" s="22">
        <v>27.122</v>
      </c>
      <c r="J165" s="22">
        <v>0.22500000000000001</v>
      </c>
      <c r="K165" s="23">
        <f t="shared" si="9"/>
        <v>0.21445833333333317</v>
      </c>
      <c r="L165" s="22">
        <v>-126.994</v>
      </c>
      <c r="M165" s="22">
        <v>165.09200000000001</v>
      </c>
      <c r="N165" s="22">
        <v>42.947000000000003</v>
      </c>
      <c r="O165" s="22">
        <v>-75.706999999999994</v>
      </c>
      <c r="P165" s="22">
        <v>69.344999999999999</v>
      </c>
      <c r="Q165" s="22">
        <v>24.704999999999998</v>
      </c>
      <c r="R165" s="22">
        <v>0.22500000000000001</v>
      </c>
      <c r="S165" s="23">
        <f t="shared" si="10"/>
        <v>0.21470833333333314</v>
      </c>
      <c r="T165" s="22">
        <v>1.6850000000000001</v>
      </c>
      <c r="U165" s="31">
        <f t="shared" si="8"/>
        <v>0.90591397849462363</v>
      </c>
      <c r="V165" s="25"/>
      <c r="W165" s="25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</row>
    <row r="166" spans="1:42" ht="12.75" customHeight="1" x14ac:dyDescent="0.2">
      <c r="A166" s="16"/>
      <c r="B166" s="21" t="s">
        <v>183</v>
      </c>
      <c r="C166" s="13">
        <v>44470.297629803237</v>
      </c>
      <c r="D166" s="22">
        <v>-174.22900000000001</v>
      </c>
      <c r="E166" s="22">
        <v>185.114</v>
      </c>
      <c r="F166" s="22">
        <v>50.302</v>
      </c>
      <c r="G166" s="22">
        <v>-106.318</v>
      </c>
      <c r="H166" s="22">
        <v>79.790000000000006</v>
      </c>
      <c r="I166" s="22">
        <v>27.876000000000001</v>
      </c>
      <c r="J166" s="22">
        <v>0.2</v>
      </c>
      <c r="K166" s="23">
        <f t="shared" si="9"/>
        <v>0.21445833333333317</v>
      </c>
      <c r="L166" s="22">
        <v>-151.12</v>
      </c>
      <c r="M166" s="22">
        <v>230.27699999999999</v>
      </c>
      <c r="N166" s="22">
        <v>46.348999999999997</v>
      </c>
      <c r="O166" s="22">
        <v>-89.986999999999995</v>
      </c>
      <c r="P166" s="22">
        <v>96.756</v>
      </c>
      <c r="Q166" s="22">
        <v>26.972999999999999</v>
      </c>
      <c r="R166" s="22">
        <v>0.2</v>
      </c>
      <c r="S166" s="23">
        <f t="shared" si="10"/>
        <v>0.21470833333333314</v>
      </c>
      <c r="T166" s="22" t="s">
        <v>26</v>
      </c>
      <c r="U166" s="31" t="e">
        <f t="shared" si="8"/>
        <v>#VALUE!</v>
      </c>
      <c r="V166" s="25"/>
      <c r="W166" s="25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</row>
    <row r="167" spans="1:42" ht="12.75" customHeight="1" x14ac:dyDescent="0.2">
      <c r="A167" s="16"/>
      <c r="B167" s="21" t="s">
        <v>184</v>
      </c>
      <c r="C167" s="13">
        <v>44470.318463078707</v>
      </c>
      <c r="D167" s="22">
        <v>-180.43199999999999</v>
      </c>
      <c r="E167" s="22">
        <v>165.98599999999999</v>
      </c>
      <c r="F167" s="22">
        <v>46.551000000000002</v>
      </c>
      <c r="G167" s="22">
        <v>-81.338999999999999</v>
      </c>
      <c r="H167" s="22">
        <v>87.991</v>
      </c>
      <c r="I167" s="22">
        <v>24.911999999999999</v>
      </c>
      <c r="J167" s="22">
        <v>0.22500000000000001</v>
      </c>
      <c r="K167" s="23">
        <f t="shared" si="9"/>
        <v>0.21445833333333317</v>
      </c>
      <c r="L167" s="22">
        <v>-145.98699999999999</v>
      </c>
      <c r="M167" s="22">
        <v>191.47800000000001</v>
      </c>
      <c r="N167" s="22">
        <v>45.398000000000003</v>
      </c>
      <c r="O167" s="22">
        <v>-92.558000000000007</v>
      </c>
      <c r="P167" s="22">
        <v>83.924000000000007</v>
      </c>
      <c r="Q167" s="22">
        <v>26.126999999999999</v>
      </c>
      <c r="R167" s="22">
        <v>0.2</v>
      </c>
      <c r="S167" s="23">
        <f t="shared" si="10"/>
        <v>0.21470833333333314</v>
      </c>
      <c r="T167" s="22">
        <v>1.506</v>
      </c>
      <c r="U167" s="31">
        <f t="shared" si="8"/>
        <v>0.80967741935483872</v>
      </c>
      <c r="V167" s="25"/>
      <c r="W167" s="25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</row>
    <row r="168" spans="1:42" ht="12.75" customHeight="1" x14ac:dyDescent="0.2">
      <c r="A168" s="16"/>
      <c r="B168" s="21" t="s">
        <v>185</v>
      </c>
      <c r="C168" s="13">
        <v>44470.33929635417</v>
      </c>
      <c r="D168" s="22">
        <v>-172.16399999999999</v>
      </c>
      <c r="E168" s="22">
        <v>177.846</v>
      </c>
      <c r="F168" s="22">
        <v>49.44</v>
      </c>
      <c r="G168" s="22">
        <v>-77.572000000000003</v>
      </c>
      <c r="H168" s="22">
        <v>104.626</v>
      </c>
      <c r="I168" s="22">
        <v>27.771999999999998</v>
      </c>
      <c r="J168" s="22">
        <v>0.2</v>
      </c>
      <c r="K168" s="23">
        <f t="shared" si="9"/>
        <v>0.21445833333333317</v>
      </c>
      <c r="L168" s="22">
        <v>-155.61000000000001</v>
      </c>
      <c r="M168" s="22">
        <v>195.905</v>
      </c>
      <c r="N168" s="22">
        <v>44.683</v>
      </c>
      <c r="O168" s="22">
        <v>-89.62</v>
      </c>
      <c r="P168" s="22">
        <v>73.307000000000002</v>
      </c>
      <c r="Q168" s="22">
        <v>24.88</v>
      </c>
      <c r="R168" s="22">
        <v>0.21299999999999999</v>
      </c>
      <c r="S168" s="23">
        <f t="shared" si="10"/>
        <v>0.21470833333333314</v>
      </c>
      <c r="T168" s="22" t="s">
        <v>26</v>
      </c>
      <c r="U168" s="31" t="e">
        <f t="shared" si="8"/>
        <v>#VALUE!</v>
      </c>
      <c r="V168" s="25"/>
      <c r="W168" s="25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</row>
    <row r="169" spans="1:42" ht="12.75" customHeight="1" x14ac:dyDescent="0.2">
      <c r="A169" s="16"/>
      <c r="B169" s="21" t="s">
        <v>186</v>
      </c>
      <c r="C169" s="13">
        <v>44470.360129629633</v>
      </c>
      <c r="D169" s="22">
        <v>-193.07499999999999</v>
      </c>
      <c r="E169" s="22">
        <v>200.33699999999999</v>
      </c>
      <c r="F169" s="22">
        <v>48.177999999999997</v>
      </c>
      <c r="G169" s="22">
        <v>-105.801</v>
      </c>
      <c r="H169" s="22">
        <v>85.900999999999996</v>
      </c>
      <c r="I169" s="22">
        <v>26.853999999999999</v>
      </c>
      <c r="J169" s="22">
        <v>0.21299999999999999</v>
      </c>
      <c r="K169" s="23">
        <f t="shared" si="9"/>
        <v>0.21445833333333317</v>
      </c>
      <c r="L169" s="22">
        <v>-139.9</v>
      </c>
      <c r="M169" s="22">
        <v>187.75800000000001</v>
      </c>
      <c r="N169" s="22">
        <v>45.878</v>
      </c>
      <c r="O169" s="22">
        <v>-78.320999999999998</v>
      </c>
      <c r="P169" s="22">
        <v>74.007999999999996</v>
      </c>
      <c r="Q169" s="22">
        <v>25.984999999999999</v>
      </c>
      <c r="R169" s="22">
        <v>0.21299999999999999</v>
      </c>
      <c r="S169" s="23">
        <f t="shared" si="10"/>
        <v>0.21470833333333314</v>
      </c>
      <c r="T169" s="22">
        <v>1.7749999999999999</v>
      </c>
      <c r="U169" s="31">
        <f t="shared" si="8"/>
        <v>0.95430107526881713</v>
      </c>
      <c r="V169" s="25"/>
      <c r="W169" s="25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</row>
    <row r="170" spans="1:42" ht="12.75" customHeight="1" x14ac:dyDescent="0.2">
      <c r="A170" s="16"/>
      <c r="B170" s="21" t="s">
        <v>187</v>
      </c>
      <c r="C170" s="13">
        <v>44470.380962905096</v>
      </c>
      <c r="D170" s="22">
        <v>-184.97300000000001</v>
      </c>
      <c r="E170" s="22">
        <v>159.21899999999999</v>
      </c>
      <c r="F170" s="22">
        <v>47.444000000000003</v>
      </c>
      <c r="G170" s="22">
        <v>-67.028000000000006</v>
      </c>
      <c r="H170" s="22">
        <v>109.224</v>
      </c>
      <c r="I170" s="22">
        <v>26.196999999999999</v>
      </c>
      <c r="J170" s="22">
        <v>0.21299999999999999</v>
      </c>
      <c r="K170" s="23">
        <f t="shared" si="9"/>
        <v>0.21445833333333317</v>
      </c>
      <c r="L170" s="22">
        <v>-162.74700000000001</v>
      </c>
      <c r="M170" s="22">
        <v>249.27199999999999</v>
      </c>
      <c r="N170" s="22">
        <v>44.872</v>
      </c>
      <c r="O170" s="22">
        <v>-118.244</v>
      </c>
      <c r="P170" s="22">
        <v>69.94</v>
      </c>
      <c r="Q170" s="22">
        <v>24.463999999999999</v>
      </c>
      <c r="R170" s="22">
        <v>0.22500000000000001</v>
      </c>
      <c r="S170" s="23">
        <f t="shared" si="10"/>
        <v>0.21470833333333314</v>
      </c>
      <c r="T170" s="22" t="s">
        <v>26</v>
      </c>
      <c r="U170" s="31" t="e">
        <f t="shared" si="8"/>
        <v>#VALUE!</v>
      </c>
      <c r="V170" s="25"/>
      <c r="W170" s="25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</row>
    <row r="171" spans="1:42" ht="12.75" customHeight="1" x14ac:dyDescent="0.2">
      <c r="A171" s="16"/>
      <c r="B171" s="21" t="s">
        <v>188</v>
      </c>
      <c r="C171" s="13">
        <v>44470.401796180558</v>
      </c>
      <c r="D171" s="22">
        <v>-173.923</v>
      </c>
      <c r="E171" s="22">
        <v>154.13800000000001</v>
      </c>
      <c r="F171" s="22">
        <v>48.531999999999996</v>
      </c>
      <c r="G171" s="22">
        <v>-88.76</v>
      </c>
      <c r="H171" s="22">
        <v>76.481999999999999</v>
      </c>
      <c r="I171" s="22">
        <v>26.736000000000001</v>
      </c>
      <c r="J171" s="22">
        <v>0.22500000000000001</v>
      </c>
      <c r="K171" s="23">
        <f t="shared" si="9"/>
        <v>0.21445833333333317</v>
      </c>
      <c r="L171" s="22">
        <v>-163.49</v>
      </c>
      <c r="M171" s="22">
        <v>202.304</v>
      </c>
      <c r="N171" s="22">
        <v>45.017000000000003</v>
      </c>
      <c r="O171" s="22">
        <v>-107.485</v>
      </c>
      <c r="P171" s="22">
        <v>75.994</v>
      </c>
      <c r="Q171" s="22">
        <v>25.306999999999999</v>
      </c>
      <c r="R171" s="22">
        <v>0.22500000000000001</v>
      </c>
      <c r="S171" s="23">
        <f t="shared" si="10"/>
        <v>0.21470833333333314</v>
      </c>
      <c r="T171" s="22">
        <v>2.1230000000000002</v>
      </c>
      <c r="U171" s="31">
        <f t="shared" si="8"/>
        <v>1.1413978494623656</v>
      </c>
      <c r="V171" s="25"/>
      <c r="W171" s="25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</row>
    <row r="172" spans="1:42" ht="12.75" customHeight="1" x14ac:dyDescent="0.2">
      <c r="A172" s="16"/>
      <c r="B172" s="21" t="s">
        <v>189</v>
      </c>
      <c r="C172" s="13">
        <v>44470.422629456021</v>
      </c>
      <c r="D172" s="22">
        <v>-162.489</v>
      </c>
      <c r="E172" s="22">
        <v>177.637</v>
      </c>
      <c r="F172" s="22">
        <v>46.941000000000003</v>
      </c>
      <c r="G172" s="22">
        <v>-81.563999999999993</v>
      </c>
      <c r="H172" s="22">
        <v>79.879000000000005</v>
      </c>
      <c r="I172" s="22">
        <v>26.521000000000001</v>
      </c>
      <c r="J172" s="22">
        <v>0.21299999999999999</v>
      </c>
      <c r="K172" s="23">
        <f t="shared" si="9"/>
        <v>0.21445833333333317</v>
      </c>
      <c r="L172" s="22">
        <v>-135.40100000000001</v>
      </c>
      <c r="M172" s="22">
        <v>176.95699999999999</v>
      </c>
      <c r="N172" s="22">
        <v>42.866</v>
      </c>
      <c r="O172" s="22">
        <v>-73.028999999999996</v>
      </c>
      <c r="P172" s="22">
        <v>77.647000000000006</v>
      </c>
      <c r="Q172" s="22">
        <v>23.741</v>
      </c>
      <c r="R172" s="22">
        <v>0.22500000000000001</v>
      </c>
      <c r="S172" s="23">
        <f t="shared" si="10"/>
        <v>0.21470833333333314</v>
      </c>
      <c r="T172" s="22" t="s">
        <v>26</v>
      </c>
      <c r="U172" s="31" t="e">
        <f t="shared" si="8"/>
        <v>#VALUE!</v>
      </c>
      <c r="V172" s="25"/>
      <c r="W172" s="25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</row>
    <row r="173" spans="1:42" ht="12.75" customHeight="1" x14ac:dyDescent="0.2">
      <c r="A173" s="16"/>
      <c r="B173" s="21" t="s">
        <v>190</v>
      </c>
      <c r="C173" s="13">
        <v>44470.443462731484</v>
      </c>
      <c r="D173" s="22">
        <v>-188.69399999999999</v>
      </c>
      <c r="E173" s="22">
        <v>175.3</v>
      </c>
      <c r="F173" s="22">
        <v>48.994</v>
      </c>
      <c r="G173" s="22">
        <v>-83.561000000000007</v>
      </c>
      <c r="H173" s="22">
        <v>101.244</v>
      </c>
      <c r="I173" s="22">
        <v>26.687999999999999</v>
      </c>
      <c r="J173" s="22">
        <v>0.22500000000000001</v>
      </c>
      <c r="K173" s="23">
        <f t="shared" si="9"/>
        <v>0.21445833333333317</v>
      </c>
      <c r="L173" s="22">
        <v>-147.619</v>
      </c>
      <c r="M173" s="22">
        <v>171.678</v>
      </c>
      <c r="N173" s="22">
        <v>44.161999999999999</v>
      </c>
      <c r="O173" s="22">
        <v>-71.927000000000007</v>
      </c>
      <c r="P173" s="22">
        <v>83.563999999999993</v>
      </c>
      <c r="Q173" s="22">
        <v>24.062000000000001</v>
      </c>
      <c r="R173" s="22">
        <v>0.21299999999999999</v>
      </c>
      <c r="S173" s="23">
        <f t="shared" si="10"/>
        <v>0.21470833333333314</v>
      </c>
      <c r="T173" s="22">
        <v>2.3875999999999991</v>
      </c>
      <c r="U173" s="31">
        <f t="shared" si="8"/>
        <v>1.283655913978494</v>
      </c>
      <c r="V173" s="25"/>
      <c r="W173" s="25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</row>
    <row r="174" spans="1:42" ht="12.75" customHeight="1" x14ac:dyDescent="0.2">
      <c r="A174" s="16"/>
      <c r="B174" s="21" t="s">
        <v>191</v>
      </c>
      <c r="C174" s="13">
        <v>44470.464296006947</v>
      </c>
      <c r="D174" s="22">
        <v>-174.31399999999999</v>
      </c>
      <c r="E174" s="22">
        <v>162.49700000000001</v>
      </c>
      <c r="F174" s="22">
        <v>47.566000000000003</v>
      </c>
      <c r="G174" s="22">
        <v>-73.066000000000003</v>
      </c>
      <c r="H174" s="22">
        <v>82.858999999999995</v>
      </c>
      <c r="I174" s="22">
        <v>25.957999999999998</v>
      </c>
      <c r="J174" s="22">
        <v>0.22500000000000001</v>
      </c>
      <c r="K174" s="23">
        <f t="shared" si="9"/>
        <v>0.21445833333333317</v>
      </c>
      <c r="L174" s="22">
        <v>-128.374</v>
      </c>
      <c r="M174" s="22">
        <v>162.363</v>
      </c>
      <c r="N174" s="22">
        <v>42.704000000000001</v>
      </c>
      <c r="O174" s="22">
        <v>-77.819999999999993</v>
      </c>
      <c r="P174" s="22">
        <v>77.120999999999995</v>
      </c>
      <c r="Q174" s="22">
        <v>23.417000000000002</v>
      </c>
      <c r="R174" s="22">
        <v>0.22500000000000001</v>
      </c>
      <c r="S174" s="23">
        <f t="shared" si="10"/>
        <v>0.21470833333333314</v>
      </c>
      <c r="T174" s="22" t="s">
        <v>26</v>
      </c>
      <c r="U174" s="31" t="e">
        <f t="shared" si="8"/>
        <v>#VALUE!</v>
      </c>
      <c r="V174" s="25"/>
      <c r="W174" s="25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</row>
    <row r="175" spans="1:42" ht="12.75" customHeight="1" x14ac:dyDescent="0.2">
      <c r="A175" s="16"/>
      <c r="B175" s="21" t="s">
        <v>192</v>
      </c>
      <c r="C175" s="13">
        <v>44470.48512928241</v>
      </c>
      <c r="D175" s="22">
        <v>-166.297</v>
      </c>
      <c r="E175" s="22">
        <v>148.124</v>
      </c>
      <c r="F175" s="22">
        <v>47.808999999999997</v>
      </c>
      <c r="G175" s="22">
        <v>-77.335999999999999</v>
      </c>
      <c r="H175" s="22">
        <v>87.265000000000001</v>
      </c>
      <c r="I175" s="22">
        <v>25.545999999999999</v>
      </c>
      <c r="J175" s="22">
        <v>0.22500000000000001</v>
      </c>
      <c r="K175" s="23">
        <f t="shared" si="9"/>
        <v>0.21445833333333317</v>
      </c>
      <c r="L175" s="22">
        <v>-170.74799999999999</v>
      </c>
      <c r="M175" s="22">
        <v>206.98699999999999</v>
      </c>
      <c r="N175" s="22">
        <v>43.171999999999997</v>
      </c>
      <c r="O175" s="22">
        <v>-100.952</v>
      </c>
      <c r="P175" s="22">
        <v>78.370999999999995</v>
      </c>
      <c r="Q175" s="22">
        <v>23.48</v>
      </c>
      <c r="R175" s="22">
        <v>0.22500000000000001</v>
      </c>
      <c r="S175" s="23">
        <f t="shared" si="10"/>
        <v>0.21470833333333314</v>
      </c>
      <c r="T175" s="22">
        <v>2.232999999999997</v>
      </c>
      <c r="U175" s="31">
        <f t="shared" si="8"/>
        <v>1.2005376344086005</v>
      </c>
      <c r="V175" s="25"/>
      <c r="W175" s="25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</row>
    <row r="176" spans="1:42" ht="12.75" customHeight="1" x14ac:dyDescent="0.2">
      <c r="A176" s="16"/>
      <c r="B176" s="21" t="s">
        <v>193</v>
      </c>
      <c r="C176" s="13">
        <v>44470.505962557872</v>
      </c>
      <c r="D176" s="22">
        <v>-174.36600000000001</v>
      </c>
      <c r="E176" s="22">
        <v>168.48</v>
      </c>
      <c r="F176" s="22">
        <v>50.927</v>
      </c>
      <c r="G176" s="22">
        <v>-85.905000000000001</v>
      </c>
      <c r="H176" s="22">
        <v>88.052999999999997</v>
      </c>
      <c r="I176" s="22">
        <v>26.722999999999999</v>
      </c>
      <c r="J176" s="22">
        <v>0.22500000000000001</v>
      </c>
      <c r="K176" s="23">
        <f t="shared" si="9"/>
        <v>0.21445833333333317</v>
      </c>
      <c r="L176" s="22">
        <v>-124.889</v>
      </c>
      <c r="M176" s="22">
        <v>154.726</v>
      </c>
      <c r="N176" s="22">
        <v>44.634</v>
      </c>
      <c r="O176" s="22">
        <v>-74.134</v>
      </c>
      <c r="P176" s="22">
        <v>65.268000000000001</v>
      </c>
      <c r="Q176" s="22">
        <v>23.158999999999999</v>
      </c>
      <c r="R176" s="22">
        <v>0.22500000000000001</v>
      </c>
      <c r="S176" s="23">
        <f t="shared" si="10"/>
        <v>0.21470833333333314</v>
      </c>
      <c r="T176" s="22" t="s">
        <v>26</v>
      </c>
      <c r="U176" s="31" t="e">
        <f t="shared" si="8"/>
        <v>#VALUE!</v>
      </c>
      <c r="V176" s="25"/>
      <c r="W176" s="25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</row>
    <row r="177" spans="1:42" ht="12.75" customHeight="1" x14ac:dyDescent="0.2">
      <c r="A177" s="16"/>
      <c r="B177" s="21" t="s">
        <v>194</v>
      </c>
      <c r="C177" s="13">
        <v>44470.526795833335</v>
      </c>
      <c r="D177" s="22">
        <v>-217.07900000000001</v>
      </c>
      <c r="E177" s="22">
        <v>190.42599999999999</v>
      </c>
      <c r="F177" s="22">
        <v>52.652000000000001</v>
      </c>
      <c r="G177" s="22">
        <v>-78.483000000000004</v>
      </c>
      <c r="H177" s="22">
        <v>122.685</v>
      </c>
      <c r="I177" s="22">
        <v>28.196999999999999</v>
      </c>
      <c r="J177" s="22">
        <v>0.22500000000000001</v>
      </c>
      <c r="K177" s="23">
        <f t="shared" si="9"/>
        <v>0.21445833333333317</v>
      </c>
      <c r="L177" s="22">
        <v>-191.92400000000001</v>
      </c>
      <c r="M177" s="22">
        <v>212.166</v>
      </c>
      <c r="N177" s="22">
        <v>45.404000000000003</v>
      </c>
      <c r="O177" s="22">
        <v>-92.995000000000005</v>
      </c>
      <c r="P177" s="22">
        <v>87.733999999999995</v>
      </c>
      <c r="Q177" s="22">
        <v>23.904</v>
      </c>
      <c r="R177" s="22">
        <v>0.22500000000000001</v>
      </c>
      <c r="S177" s="23">
        <f t="shared" si="10"/>
        <v>0.21470833333333314</v>
      </c>
      <c r="T177" s="22">
        <v>1.75</v>
      </c>
      <c r="U177" s="31">
        <f t="shared" si="8"/>
        <v>0.94086021505376338</v>
      </c>
      <c r="V177" s="25"/>
      <c r="W177" s="25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</row>
    <row r="178" spans="1:42" ht="12.75" customHeight="1" x14ac:dyDescent="0.2">
      <c r="A178" s="16"/>
      <c r="B178" s="21" t="s">
        <v>195</v>
      </c>
      <c r="C178" s="13">
        <v>44470.547629108798</v>
      </c>
      <c r="D178" s="22">
        <v>-172.43899999999999</v>
      </c>
      <c r="E178" s="22">
        <v>202.923</v>
      </c>
      <c r="F178" s="22">
        <v>51.076999999999998</v>
      </c>
      <c r="G178" s="22">
        <v>-97.701999999999998</v>
      </c>
      <c r="H178" s="22">
        <v>79.004999999999995</v>
      </c>
      <c r="I178" s="22">
        <v>27.158000000000001</v>
      </c>
      <c r="J178" s="22">
        <v>0.22500000000000001</v>
      </c>
      <c r="K178" s="23">
        <f t="shared" si="9"/>
        <v>0.21445833333333317</v>
      </c>
      <c r="L178" s="22">
        <v>-135.51900000000001</v>
      </c>
      <c r="M178" s="22">
        <v>153.142</v>
      </c>
      <c r="N178" s="22">
        <v>44.176000000000002</v>
      </c>
      <c r="O178" s="22">
        <v>-70.950999999999993</v>
      </c>
      <c r="P178" s="22">
        <v>65.683999999999997</v>
      </c>
      <c r="Q178" s="22">
        <v>23.452999999999999</v>
      </c>
      <c r="R178" s="22">
        <v>0.22500000000000001</v>
      </c>
      <c r="S178" s="23">
        <f t="shared" si="10"/>
        <v>0.21470833333333314</v>
      </c>
      <c r="T178" s="22" t="s">
        <v>26</v>
      </c>
      <c r="U178" s="31" t="e">
        <f t="shared" si="8"/>
        <v>#VALUE!</v>
      </c>
      <c r="V178" s="25"/>
      <c r="W178" s="25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</row>
    <row r="179" spans="1:42" ht="12.75" customHeight="1" x14ac:dyDescent="0.2">
      <c r="A179" s="16"/>
      <c r="B179" s="21" t="s">
        <v>196</v>
      </c>
      <c r="C179" s="13">
        <v>44470.568462384261</v>
      </c>
      <c r="D179" s="22">
        <v>-171.70099999999999</v>
      </c>
      <c r="E179" s="22">
        <v>152.10599999999999</v>
      </c>
      <c r="F179" s="22">
        <v>50.848999999999997</v>
      </c>
      <c r="G179" s="22">
        <v>-83.971000000000004</v>
      </c>
      <c r="H179" s="22">
        <v>68.680999999999997</v>
      </c>
      <c r="I179" s="22">
        <v>27.527999999999999</v>
      </c>
      <c r="J179" s="22">
        <v>0.22500000000000001</v>
      </c>
      <c r="K179" s="23">
        <f t="shared" si="9"/>
        <v>0.21445833333333317</v>
      </c>
      <c r="L179" s="22">
        <v>-135.68799999999999</v>
      </c>
      <c r="M179" s="22">
        <v>171.22300000000001</v>
      </c>
      <c r="N179" s="22">
        <v>45.070999999999998</v>
      </c>
      <c r="O179" s="22">
        <v>-79.234999999999999</v>
      </c>
      <c r="P179" s="22">
        <v>70.337000000000003</v>
      </c>
      <c r="Q179" s="22">
        <v>23.88</v>
      </c>
      <c r="R179" s="22">
        <v>0.22500000000000001</v>
      </c>
      <c r="S179" s="23">
        <f t="shared" si="10"/>
        <v>0.21470833333333314</v>
      </c>
      <c r="T179" s="22">
        <v>3.6819999999999999</v>
      </c>
      <c r="U179" s="31">
        <f t="shared" si="8"/>
        <v>1.9795698924731182</v>
      </c>
      <c r="V179" s="25"/>
      <c r="W179" s="25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</row>
    <row r="180" spans="1:42" ht="12.75" customHeight="1" x14ac:dyDescent="0.2">
      <c r="A180" s="16"/>
      <c r="B180" s="21" t="s">
        <v>197</v>
      </c>
      <c r="C180" s="13">
        <v>44470.589295659724</v>
      </c>
      <c r="D180" s="22">
        <v>-169.48599999999999</v>
      </c>
      <c r="E180" s="22">
        <v>182.46700000000001</v>
      </c>
      <c r="F180" s="22">
        <v>53.295000000000002</v>
      </c>
      <c r="G180" s="22">
        <v>-79.747</v>
      </c>
      <c r="H180" s="22">
        <v>98.402000000000001</v>
      </c>
      <c r="I180" s="22">
        <v>28.309000000000001</v>
      </c>
      <c r="J180" s="22">
        <v>0.22500000000000001</v>
      </c>
      <c r="K180" s="23">
        <f t="shared" si="9"/>
        <v>0.21445833333333317</v>
      </c>
      <c r="L180" s="22">
        <v>-120.666</v>
      </c>
      <c r="M180" s="22">
        <v>148.154</v>
      </c>
      <c r="N180" s="22">
        <v>41.381999999999998</v>
      </c>
      <c r="O180" s="22">
        <v>-63.844999999999999</v>
      </c>
      <c r="P180" s="22">
        <v>60.862000000000002</v>
      </c>
      <c r="Q180" s="22">
        <v>21.332999999999998</v>
      </c>
      <c r="R180" s="22">
        <v>0.22500000000000001</v>
      </c>
      <c r="S180" s="23">
        <f t="shared" si="10"/>
        <v>0.21470833333333314</v>
      </c>
      <c r="T180" s="22" t="s">
        <v>26</v>
      </c>
      <c r="U180" s="31" t="e">
        <f t="shared" si="8"/>
        <v>#VALUE!</v>
      </c>
      <c r="V180" s="25"/>
      <c r="W180" s="25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</row>
    <row r="181" spans="1:42" ht="12.75" customHeight="1" x14ac:dyDescent="0.2">
      <c r="A181" s="16"/>
      <c r="B181" s="21" t="s">
        <v>198</v>
      </c>
      <c r="C181" s="13">
        <v>44470.610128935186</v>
      </c>
      <c r="D181" s="22">
        <v>-201.077</v>
      </c>
      <c r="E181" s="22">
        <v>188.28</v>
      </c>
      <c r="F181" s="22">
        <v>51.652000000000001</v>
      </c>
      <c r="G181" s="22">
        <v>-81.745000000000005</v>
      </c>
      <c r="H181" s="22">
        <v>91.135000000000005</v>
      </c>
      <c r="I181" s="22">
        <v>27.459</v>
      </c>
      <c r="J181" s="22">
        <v>0.22500000000000001</v>
      </c>
      <c r="K181" s="23">
        <f t="shared" si="9"/>
        <v>0.21445833333333317</v>
      </c>
      <c r="L181" s="22">
        <v>-183.35400000000001</v>
      </c>
      <c r="M181" s="22">
        <v>197.59899999999999</v>
      </c>
      <c r="N181" s="22">
        <v>44.322000000000003</v>
      </c>
      <c r="O181" s="22">
        <v>-85.676000000000002</v>
      </c>
      <c r="P181" s="22">
        <v>89.603999999999999</v>
      </c>
      <c r="Q181" s="22">
        <v>23.544</v>
      </c>
      <c r="R181" s="22">
        <v>0.22500000000000001</v>
      </c>
      <c r="S181" s="23">
        <f t="shared" si="10"/>
        <v>0.21470833333333314</v>
      </c>
      <c r="T181" s="22">
        <v>2.4329999999999998</v>
      </c>
      <c r="U181" s="31">
        <f t="shared" si="8"/>
        <v>1.3080645161290321</v>
      </c>
      <c r="V181" s="25"/>
      <c r="W181" s="25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</row>
    <row r="182" spans="1:42" ht="12.75" customHeight="1" x14ac:dyDescent="0.2">
      <c r="A182" s="16"/>
      <c r="B182" s="21" t="s">
        <v>199</v>
      </c>
      <c r="C182" s="13">
        <v>44470.630962210649</v>
      </c>
      <c r="D182" s="22">
        <v>-177.01599999999999</v>
      </c>
      <c r="E182" s="22">
        <v>193.09899999999999</v>
      </c>
      <c r="F182" s="22">
        <v>49.118000000000002</v>
      </c>
      <c r="G182" s="22">
        <v>-106.211</v>
      </c>
      <c r="H182" s="22">
        <v>64.543999999999997</v>
      </c>
      <c r="I182" s="22">
        <v>26.332999999999998</v>
      </c>
      <c r="J182" s="22">
        <v>0.22500000000000001</v>
      </c>
      <c r="K182" s="23">
        <f t="shared" si="9"/>
        <v>0.21445833333333317</v>
      </c>
      <c r="L182" s="22">
        <v>-123.289</v>
      </c>
      <c r="M182" s="22">
        <v>164.4</v>
      </c>
      <c r="N182" s="22">
        <v>42.472999999999999</v>
      </c>
      <c r="O182" s="22">
        <v>-67.923000000000002</v>
      </c>
      <c r="P182" s="22">
        <v>61.58</v>
      </c>
      <c r="Q182" s="22">
        <v>23.007000000000001</v>
      </c>
      <c r="R182" s="22">
        <v>0.22500000000000001</v>
      </c>
      <c r="S182" s="23">
        <f t="shared" si="10"/>
        <v>0.21470833333333314</v>
      </c>
      <c r="T182" s="22" t="s">
        <v>26</v>
      </c>
      <c r="U182" s="31" t="e">
        <f t="shared" si="8"/>
        <v>#VALUE!</v>
      </c>
      <c r="V182" s="25"/>
      <c r="W182" s="25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</row>
    <row r="183" spans="1:42" ht="12.75" customHeight="1" x14ac:dyDescent="0.2">
      <c r="A183" s="16"/>
      <c r="B183" s="21" t="s">
        <v>200</v>
      </c>
      <c r="C183" s="13">
        <v>44470.651795486112</v>
      </c>
      <c r="D183" s="22">
        <v>-181.16200000000001</v>
      </c>
      <c r="E183" s="22">
        <v>198.209</v>
      </c>
      <c r="F183" s="22">
        <v>52.774000000000001</v>
      </c>
      <c r="G183" s="22">
        <v>-100.922</v>
      </c>
      <c r="H183" s="22">
        <v>70.298000000000002</v>
      </c>
      <c r="I183" s="22">
        <v>27.643999999999998</v>
      </c>
      <c r="J183" s="22">
        <v>0.22500000000000001</v>
      </c>
      <c r="K183" s="23">
        <f t="shared" si="9"/>
        <v>0.21445833333333317</v>
      </c>
      <c r="L183" s="22">
        <v>-138.59299999999999</v>
      </c>
      <c r="M183" s="22">
        <v>166.905</v>
      </c>
      <c r="N183" s="22">
        <v>45.048999999999999</v>
      </c>
      <c r="O183" s="22">
        <v>-83.974000000000004</v>
      </c>
      <c r="P183" s="22">
        <v>76.019000000000005</v>
      </c>
      <c r="Q183" s="22">
        <v>24.143000000000001</v>
      </c>
      <c r="R183" s="22">
        <v>0.22500000000000001</v>
      </c>
      <c r="S183" s="23">
        <f t="shared" si="10"/>
        <v>0.21470833333333314</v>
      </c>
      <c r="T183" s="22">
        <v>2.448</v>
      </c>
      <c r="U183" s="31">
        <f t="shared" si="8"/>
        <v>1.3161290322580643</v>
      </c>
      <c r="V183" s="25"/>
      <c r="W183" s="25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</row>
    <row r="184" spans="1:42" ht="12.75" customHeight="1" x14ac:dyDescent="0.2">
      <c r="A184" s="16"/>
      <c r="B184" s="21" t="s">
        <v>201</v>
      </c>
      <c r="C184" s="13">
        <v>44470.672628761575</v>
      </c>
      <c r="D184" s="22">
        <v>-158.96299999999999</v>
      </c>
      <c r="E184" s="22">
        <v>155.86000000000001</v>
      </c>
      <c r="F184" s="22">
        <v>49.32</v>
      </c>
      <c r="G184" s="22">
        <v>-80.430000000000007</v>
      </c>
      <c r="H184" s="22">
        <v>76.399000000000001</v>
      </c>
      <c r="I184" s="22">
        <v>26.111999999999998</v>
      </c>
      <c r="J184" s="22">
        <v>0.22500000000000001</v>
      </c>
      <c r="K184" s="23">
        <f t="shared" si="9"/>
        <v>0.21445833333333317</v>
      </c>
      <c r="L184" s="22">
        <v>-132.898</v>
      </c>
      <c r="M184" s="22">
        <v>153.86600000000001</v>
      </c>
      <c r="N184" s="22">
        <v>43.366</v>
      </c>
      <c r="O184" s="22">
        <v>-69.075000000000003</v>
      </c>
      <c r="P184" s="22">
        <v>71.52</v>
      </c>
      <c r="Q184" s="22">
        <v>23.439</v>
      </c>
      <c r="R184" s="22">
        <v>0.22500000000000001</v>
      </c>
      <c r="S184" s="23">
        <f t="shared" si="10"/>
        <v>0.21470833333333314</v>
      </c>
      <c r="T184" s="22" t="s">
        <v>26</v>
      </c>
      <c r="U184" s="31" t="e">
        <f t="shared" si="8"/>
        <v>#VALUE!</v>
      </c>
      <c r="V184" s="25"/>
      <c r="W184" s="25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</row>
    <row r="185" spans="1:42" ht="12.75" customHeight="1" x14ac:dyDescent="0.2">
      <c r="A185" s="16"/>
      <c r="B185" s="21" t="s">
        <v>202</v>
      </c>
      <c r="C185" s="13">
        <v>44470.693462037038</v>
      </c>
      <c r="D185" s="22">
        <v>-198.39</v>
      </c>
      <c r="E185" s="22">
        <v>171.386</v>
      </c>
      <c r="F185" s="22">
        <v>51.786999999999999</v>
      </c>
      <c r="G185" s="22">
        <v>-96.454999999999998</v>
      </c>
      <c r="H185" s="22">
        <v>87.317999999999998</v>
      </c>
      <c r="I185" s="22">
        <v>27.629000000000001</v>
      </c>
      <c r="J185" s="22">
        <v>0.22500000000000001</v>
      </c>
      <c r="K185" s="23">
        <f t="shared" si="9"/>
        <v>0.21445833333333317</v>
      </c>
      <c r="L185" s="22">
        <v>-139.666</v>
      </c>
      <c r="M185" s="22">
        <v>149.553</v>
      </c>
      <c r="N185" s="22">
        <v>42.405000000000001</v>
      </c>
      <c r="O185" s="22">
        <v>-64.295000000000002</v>
      </c>
      <c r="P185" s="22">
        <v>62.051000000000002</v>
      </c>
      <c r="Q185" s="22">
        <v>22.728999999999999</v>
      </c>
      <c r="R185" s="22">
        <v>0.22500000000000001</v>
      </c>
      <c r="S185" s="23">
        <f t="shared" si="10"/>
        <v>0.21470833333333314</v>
      </c>
      <c r="T185" s="22">
        <v>1.4650000000000001</v>
      </c>
      <c r="U185" s="31">
        <f t="shared" si="8"/>
        <v>0.7876344086021505</v>
      </c>
      <c r="V185" s="25"/>
      <c r="W185" s="25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</row>
    <row r="186" spans="1:42" ht="12.75" customHeight="1" x14ac:dyDescent="0.2">
      <c r="A186" s="16"/>
      <c r="B186" s="21" t="s">
        <v>203</v>
      </c>
      <c r="C186" s="13">
        <v>44470.7142953125</v>
      </c>
      <c r="D186" s="22">
        <v>-182.06700000000001</v>
      </c>
      <c r="E186" s="22">
        <v>171.202</v>
      </c>
      <c r="F186" s="22">
        <v>49.625</v>
      </c>
      <c r="G186" s="22">
        <v>-83.287000000000006</v>
      </c>
      <c r="H186" s="22">
        <v>95.853999999999999</v>
      </c>
      <c r="I186" s="22">
        <v>26.050999999999998</v>
      </c>
      <c r="J186" s="22">
        <v>0.22500000000000001</v>
      </c>
      <c r="K186" s="23">
        <f t="shared" si="9"/>
        <v>0.21445833333333317</v>
      </c>
      <c r="L186" s="22">
        <v>-144.583</v>
      </c>
      <c r="M186" s="22">
        <v>157.97</v>
      </c>
      <c r="N186" s="22">
        <v>44.771999999999998</v>
      </c>
      <c r="O186" s="22">
        <v>-74.872</v>
      </c>
      <c r="P186" s="22">
        <v>66.11</v>
      </c>
      <c r="Q186" s="22">
        <v>24.318999999999999</v>
      </c>
      <c r="R186" s="22">
        <v>0.22500000000000001</v>
      </c>
      <c r="S186" s="23">
        <f t="shared" si="10"/>
        <v>0.21470833333333314</v>
      </c>
      <c r="T186" s="22" t="s">
        <v>26</v>
      </c>
      <c r="U186" s="31" t="e">
        <f t="shared" si="8"/>
        <v>#VALUE!</v>
      </c>
      <c r="V186" s="25"/>
      <c r="W186" s="25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</row>
    <row r="187" spans="1:42" ht="12.75" customHeight="1" x14ac:dyDescent="0.2">
      <c r="A187" s="16"/>
      <c r="B187" s="21" t="s">
        <v>204</v>
      </c>
      <c r="C187" s="13">
        <v>44470.735128587963</v>
      </c>
      <c r="D187" s="22">
        <v>-207.667</v>
      </c>
      <c r="E187" s="22">
        <v>174.15</v>
      </c>
      <c r="F187" s="22">
        <v>51.362000000000002</v>
      </c>
      <c r="G187" s="22">
        <v>-85.980999999999995</v>
      </c>
      <c r="H187" s="22">
        <v>96.539000000000001</v>
      </c>
      <c r="I187" s="22">
        <v>27.483000000000001</v>
      </c>
      <c r="J187" s="22">
        <v>0.2</v>
      </c>
      <c r="K187" s="23">
        <f t="shared" si="9"/>
        <v>0.21445833333333317</v>
      </c>
      <c r="L187" s="22">
        <v>-141.01300000000001</v>
      </c>
      <c r="M187" s="22">
        <v>167.501</v>
      </c>
      <c r="N187" s="22">
        <v>45.887</v>
      </c>
      <c r="O187" s="22">
        <v>-72.686999999999998</v>
      </c>
      <c r="P187" s="22">
        <v>81.635000000000005</v>
      </c>
      <c r="Q187" s="22">
        <v>24.914999999999999</v>
      </c>
      <c r="R187" s="22">
        <v>0.22500000000000001</v>
      </c>
      <c r="S187" s="23">
        <f t="shared" si="10"/>
        <v>0.21470833333333314</v>
      </c>
      <c r="T187" s="22">
        <v>1.514</v>
      </c>
      <c r="U187" s="31">
        <f t="shared" si="8"/>
        <v>0.8139784946236559</v>
      </c>
      <c r="V187" s="25"/>
      <c r="W187" s="25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</row>
    <row r="188" spans="1:42" ht="12.75" customHeight="1" x14ac:dyDescent="0.2">
      <c r="A188" s="16"/>
      <c r="B188" s="21" t="s">
        <v>205</v>
      </c>
      <c r="C188" s="13">
        <v>44470.755961863426</v>
      </c>
      <c r="D188" s="22">
        <v>-191.21</v>
      </c>
      <c r="E188" s="22">
        <v>160.06</v>
      </c>
      <c r="F188" s="22">
        <v>49.686</v>
      </c>
      <c r="G188" s="22">
        <v>-68.510999999999996</v>
      </c>
      <c r="H188" s="22">
        <v>90.325000000000003</v>
      </c>
      <c r="I188" s="22">
        <v>25.777000000000001</v>
      </c>
      <c r="J188" s="22">
        <v>0.22500000000000001</v>
      </c>
      <c r="K188" s="23">
        <f t="shared" si="9"/>
        <v>0.21445833333333317</v>
      </c>
      <c r="L188" s="22">
        <v>-148.62899999999999</v>
      </c>
      <c r="M188" s="22">
        <v>181.07499999999999</v>
      </c>
      <c r="N188" s="22">
        <v>46.350999999999999</v>
      </c>
      <c r="O188" s="22">
        <v>-85.608999999999995</v>
      </c>
      <c r="P188" s="22">
        <v>74.641000000000005</v>
      </c>
      <c r="Q188" s="22">
        <v>24.617999999999999</v>
      </c>
      <c r="R188" s="22">
        <v>0.22500000000000001</v>
      </c>
      <c r="S188" s="23">
        <f t="shared" si="10"/>
        <v>0.21470833333333314</v>
      </c>
      <c r="T188" s="22" t="s">
        <v>26</v>
      </c>
      <c r="U188" s="31" t="e">
        <f t="shared" si="8"/>
        <v>#VALUE!</v>
      </c>
      <c r="V188" s="25"/>
      <c r="W188" s="25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</row>
    <row r="189" spans="1:42" ht="12.75" customHeight="1" x14ac:dyDescent="0.2">
      <c r="A189" s="16"/>
      <c r="B189" s="21" t="s">
        <v>206</v>
      </c>
      <c r="C189" s="13">
        <v>44470.776795138889</v>
      </c>
      <c r="D189" s="22">
        <v>-172.62899999999999</v>
      </c>
      <c r="E189" s="22">
        <v>157.23699999999999</v>
      </c>
      <c r="F189" s="22">
        <v>49.061999999999998</v>
      </c>
      <c r="G189" s="22">
        <v>-78.875</v>
      </c>
      <c r="H189" s="22">
        <v>98.393000000000001</v>
      </c>
      <c r="I189" s="22">
        <v>25.77</v>
      </c>
      <c r="J189" s="22">
        <v>0.22500000000000001</v>
      </c>
      <c r="K189" s="23">
        <f t="shared" si="9"/>
        <v>0.21445833333333317</v>
      </c>
      <c r="L189" s="22">
        <v>-126.889</v>
      </c>
      <c r="M189" s="22">
        <v>153.80000000000001</v>
      </c>
      <c r="N189" s="22">
        <v>43.639000000000003</v>
      </c>
      <c r="O189" s="22">
        <v>-74.870999999999995</v>
      </c>
      <c r="P189" s="22">
        <v>69.040000000000006</v>
      </c>
      <c r="Q189" s="22">
        <v>23.506</v>
      </c>
      <c r="R189" s="22">
        <v>0.22500000000000001</v>
      </c>
      <c r="S189" s="23">
        <f t="shared" si="10"/>
        <v>0.21470833333333314</v>
      </c>
      <c r="T189" s="22">
        <v>1.4039999999999999</v>
      </c>
      <c r="U189" s="31">
        <f t="shared" si="8"/>
        <v>0.75483870967741928</v>
      </c>
      <c r="V189" s="25"/>
      <c r="W189" s="25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</row>
    <row r="190" spans="1:42" ht="12.75" customHeight="1" x14ac:dyDescent="0.2">
      <c r="A190" s="16"/>
      <c r="B190" s="21" t="s">
        <v>207</v>
      </c>
      <c r="C190" s="13">
        <v>44470.797628414351</v>
      </c>
      <c r="D190" s="22">
        <v>-173.98</v>
      </c>
      <c r="E190" s="22">
        <v>190.64099999999999</v>
      </c>
      <c r="F190" s="22">
        <v>50.081000000000003</v>
      </c>
      <c r="G190" s="22">
        <v>-81.233999999999995</v>
      </c>
      <c r="H190" s="22">
        <v>86.182000000000002</v>
      </c>
      <c r="I190" s="22">
        <v>25.681000000000001</v>
      </c>
      <c r="J190" s="22">
        <v>0.22500000000000001</v>
      </c>
      <c r="K190" s="23">
        <f t="shared" si="9"/>
        <v>0.21445833333333317</v>
      </c>
      <c r="L190" s="22">
        <v>-139.35</v>
      </c>
      <c r="M190" s="22">
        <v>190.21</v>
      </c>
      <c r="N190" s="22">
        <v>44.427999999999997</v>
      </c>
      <c r="O190" s="22">
        <v>-81.793999999999997</v>
      </c>
      <c r="P190" s="22">
        <v>80.585999999999999</v>
      </c>
      <c r="Q190" s="22">
        <v>23.004999999999999</v>
      </c>
      <c r="R190" s="22">
        <v>0.22500000000000001</v>
      </c>
      <c r="S190" s="23">
        <f t="shared" si="10"/>
        <v>0.21470833333333314</v>
      </c>
      <c r="T190" s="22" t="s">
        <v>26</v>
      </c>
      <c r="U190" s="31" t="e">
        <f t="shared" si="8"/>
        <v>#VALUE!</v>
      </c>
      <c r="V190" s="25"/>
      <c r="W190" s="25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</row>
    <row r="191" spans="1:42" ht="12.75" customHeight="1" x14ac:dyDescent="0.2">
      <c r="A191" s="16"/>
      <c r="B191" s="21" t="s">
        <v>208</v>
      </c>
      <c r="C191" s="13">
        <v>44470.818461689814</v>
      </c>
      <c r="D191" s="22">
        <v>-180.20099999999999</v>
      </c>
      <c r="E191" s="22">
        <v>186.57599999999999</v>
      </c>
      <c r="F191" s="22">
        <v>49.786999999999999</v>
      </c>
      <c r="G191" s="22">
        <v>-72.772000000000006</v>
      </c>
      <c r="H191" s="22">
        <v>97.18</v>
      </c>
      <c r="I191" s="22">
        <v>25.835000000000001</v>
      </c>
      <c r="J191" s="22">
        <v>0.22500000000000001</v>
      </c>
      <c r="K191" s="23">
        <f t="shared" si="9"/>
        <v>0.21445833333333317</v>
      </c>
      <c r="L191" s="22">
        <v>-139.25899999999999</v>
      </c>
      <c r="M191" s="22">
        <v>211.04</v>
      </c>
      <c r="N191" s="22">
        <v>48.250999999999998</v>
      </c>
      <c r="O191" s="22">
        <v>-85.31</v>
      </c>
      <c r="P191" s="22">
        <v>79.462000000000003</v>
      </c>
      <c r="Q191" s="22">
        <v>25.286999999999999</v>
      </c>
      <c r="R191" s="22">
        <v>0.21299999999999999</v>
      </c>
      <c r="S191" s="23">
        <f t="shared" si="10"/>
        <v>0.21470833333333314</v>
      </c>
      <c r="T191" s="22">
        <v>1.4590000000000001</v>
      </c>
      <c r="U191" s="31">
        <f t="shared" si="8"/>
        <v>0.78440860215053765</v>
      </c>
      <c r="V191" s="25"/>
      <c r="W191" s="25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</row>
    <row r="192" spans="1:42" ht="12.75" customHeight="1" x14ac:dyDescent="0.2">
      <c r="A192" s="16"/>
      <c r="B192" s="21" t="s">
        <v>209</v>
      </c>
      <c r="C192" s="13">
        <v>44470.839294965277</v>
      </c>
      <c r="D192" s="22">
        <v>-171.42</v>
      </c>
      <c r="E192" s="22">
        <v>180.91499999999999</v>
      </c>
      <c r="F192" s="22">
        <v>50.143999999999998</v>
      </c>
      <c r="G192" s="22">
        <v>-84.552999999999997</v>
      </c>
      <c r="H192" s="22">
        <v>67.900999999999996</v>
      </c>
      <c r="I192" s="22">
        <v>24.824000000000002</v>
      </c>
      <c r="J192" s="22">
        <v>0.22500000000000001</v>
      </c>
      <c r="K192" s="23">
        <f t="shared" si="9"/>
        <v>0.21445833333333317</v>
      </c>
      <c r="L192" s="22">
        <v>-143.91</v>
      </c>
      <c r="M192" s="22">
        <v>199.327</v>
      </c>
      <c r="N192" s="22">
        <v>46.298000000000002</v>
      </c>
      <c r="O192" s="22">
        <v>-80.075999999999993</v>
      </c>
      <c r="P192" s="22">
        <v>106.13800000000001</v>
      </c>
      <c r="Q192" s="22">
        <v>23.309000000000001</v>
      </c>
      <c r="R192" s="22">
        <v>0.22500000000000001</v>
      </c>
      <c r="S192" s="23">
        <f t="shared" si="10"/>
        <v>0.21470833333333314</v>
      </c>
      <c r="T192" s="22" t="s">
        <v>26</v>
      </c>
      <c r="U192" s="31" t="e">
        <f t="shared" si="8"/>
        <v>#VALUE!</v>
      </c>
      <c r="V192" s="25"/>
      <c r="W192" s="25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</row>
    <row r="193" spans="1:42" ht="12.75" customHeight="1" x14ac:dyDescent="0.2">
      <c r="A193" s="16"/>
      <c r="B193" s="21" t="s">
        <v>210</v>
      </c>
      <c r="C193" s="13">
        <v>44470.86012824074</v>
      </c>
      <c r="D193" s="22">
        <v>-197.88200000000001</v>
      </c>
      <c r="E193" s="22">
        <v>173.166</v>
      </c>
      <c r="F193" s="22">
        <v>52.613999999999997</v>
      </c>
      <c r="G193" s="22">
        <v>-80.066000000000003</v>
      </c>
      <c r="H193" s="22">
        <v>83.995999999999995</v>
      </c>
      <c r="I193" s="22">
        <v>25.602</v>
      </c>
      <c r="J193" s="22">
        <v>0.22500000000000001</v>
      </c>
      <c r="K193" s="23">
        <f t="shared" si="9"/>
        <v>0.21445833333333317</v>
      </c>
      <c r="L193" s="22">
        <v>-140.994</v>
      </c>
      <c r="M193" s="22">
        <v>196.49700000000001</v>
      </c>
      <c r="N193" s="22">
        <v>48.177</v>
      </c>
      <c r="O193" s="22">
        <v>-74.137</v>
      </c>
      <c r="P193" s="22">
        <v>72.664000000000001</v>
      </c>
      <c r="Q193" s="22">
        <v>23.568000000000001</v>
      </c>
      <c r="R193" s="22">
        <v>0.21299999999999999</v>
      </c>
      <c r="S193" s="23">
        <f t="shared" si="10"/>
        <v>0.21470833333333314</v>
      </c>
      <c r="T193" s="22">
        <v>1.4490000000000001</v>
      </c>
      <c r="U193" s="31">
        <f t="shared" si="8"/>
        <v>0.77903225806451615</v>
      </c>
      <c r="V193" s="25"/>
      <c r="W193" s="25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</row>
    <row r="194" spans="1:42" ht="12.75" customHeight="1" x14ac:dyDescent="0.2">
      <c r="A194" s="16"/>
      <c r="B194" s="21" t="s">
        <v>211</v>
      </c>
      <c r="C194" s="13">
        <v>44470.880961516203</v>
      </c>
      <c r="D194" s="22">
        <v>-190.31399999999999</v>
      </c>
      <c r="E194" s="22">
        <v>164.88900000000001</v>
      </c>
      <c r="F194" s="22">
        <v>57.588000000000001</v>
      </c>
      <c r="G194" s="22">
        <v>-101.57299999999999</v>
      </c>
      <c r="H194" s="22">
        <v>68.165000000000006</v>
      </c>
      <c r="I194" s="22">
        <v>27.811</v>
      </c>
      <c r="J194" s="22">
        <v>0.22500000000000001</v>
      </c>
      <c r="K194" s="23">
        <f t="shared" si="9"/>
        <v>0.21445833333333317</v>
      </c>
      <c r="L194" s="22">
        <v>-163.12899999999999</v>
      </c>
      <c r="M194" s="22">
        <v>200.184</v>
      </c>
      <c r="N194" s="22">
        <v>54.271999999999998</v>
      </c>
      <c r="O194" s="22">
        <v>-91.105000000000004</v>
      </c>
      <c r="P194" s="22">
        <v>83.450999999999993</v>
      </c>
      <c r="Q194" s="22">
        <v>26.405999999999999</v>
      </c>
      <c r="R194" s="22">
        <v>0.22500000000000001</v>
      </c>
      <c r="S194" s="23">
        <f t="shared" si="10"/>
        <v>0.21470833333333314</v>
      </c>
      <c r="T194" s="22" t="s">
        <v>26</v>
      </c>
      <c r="U194" s="31" t="e">
        <f t="shared" si="8"/>
        <v>#VALUE!</v>
      </c>
      <c r="V194" s="25"/>
      <c r="W194" s="25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</row>
    <row r="195" spans="1:42" ht="12.75" customHeight="1" x14ac:dyDescent="0.2">
      <c r="A195" s="16"/>
      <c r="B195" s="21" t="s">
        <v>212</v>
      </c>
      <c r="C195" s="13">
        <v>44470.901794791665</v>
      </c>
      <c r="D195" s="22">
        <v>-227.631</v>
      </c>
      <c r="E195" s="22">
        <v>210.14699999999999</v>
      </c>
      <c r="F195" s="22">
        <v>58.445</v>
      </c>
      <c r="G195" s="22">
        <v>-99.488</v>
      </c>
      <c r="H195" s="22">
        <v>99.097999999999999</v>
      </c>
      <c r="I195" s="22">
        <v>28.37</v>
      </c>
      <c r="J195" s="22">
        <v>0.22500000000000001</v>
      </c>
      <c r="K195" s="23">
        <f t="shared" si="9"/>
        <v>0.21445833333333317</v>
      </c>
      <c r="L195" s="22">
        <v>-153.684</v>
      </c>
      <c r="M195" s="22">
        <v>192.37200000000001</v>
      </c>
      <c r="N195" s="22">
        <v>52.82</v>
      </c>
      <c r="O195" s="22">
        <v>-72.358999999999995</v>
      </c>
      <c r="P195" s="22">
        <v>71.463999999999999</v>
      </c>
      <c r="Q195" s="22">
        <v>25.158000000000001</v>
      </c>
      <c r="R195" s="22">
        <v>0.22500000000000001</v>
      </c>
      <c r="S195" s="23">
        <f t="shared" si="10"/>
        <v>0.21470833333333314</v>
      </c>
      <c r="T195" s="22">
        <v>1.5409999999999999</v>
      </c>
      <c r="U195" s="31">
        <f t="shared" si="8"/>
        <v>0.82849462365591386</v>
      </c>
      <c r="V195" s="25"/>
      <c r="W195" s="25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</row>
    <row r="196" spans="1:42" ht="12.75" customHeight="1" x14ac:dyDescent="0.2">
      <c r="A196" s="16"/>
      <c r="B196" s="21" t="s">
        <v>213</v>
      </c>
      <c r="C196" s="13">
        <v>44470.922628067128</v>
      </c>
      <c r="D196" s="22">
        <v>-207.71100000000001</v>
      </c>
      <c r="E196" s="22">
        <v>196.99799999999999</v>
      </c>
      <c r="F196" s="22">
        <v>61.140999999999998</v>
      </c>
      <c r="G196" s="22">
        <v>-84.730999999999995</v>
      </c>
      <c r="H196" s="22">
        <v>97.268000000000001</v>
      </c>
      <c r="I196" s="22">
        <v>29.402000000000001</v>
      </c>
      <c r="J196" s="22">
        <v>0.22500000000000001</v>
      </c>
      <c r="K196" s="23">
        <f t="shared" si="9"/>
        <v>0.21445833333333317</v>
      </c>
      <c r="L196" s="22">
        <v>-173.36199999999999</v>
      </c>
      <c r="M196" s="22">
        <v>206.33099999999999</v>
      </c>
      <c r="N196" s="22">
        <v>58.073</v>
      </c>
      <c r="O196" s="22">
        <v>-82.313999999999993</v>
      </c>
      <c r="P196" s="22">
        <v>83.478999999999999</v>
      </c>
      <c r="Q196" s="22">
        <v>28.445</v>
      </c>
      <c r="R196" s="22">
        <v>0.21299999999999999</v>
      </c>
      <c r="S196" s="23">
        <f t="shared" si="10"/>
        <v>0.21470833333333314</v>
      </c>
      <c r="T196" s="22" t="s">
        <v>26</v>
      </c>
      <c r="U196" s="31" t="e">
        <f t="shared" si="8"/>
        <v>#VALUE!</v>
      </c>
      <c r="V196" s="25"/>
      <c r="W196" s="25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</row>
    <row r="197" spans="1:42" ht="12.75" customHeight="1" x14ac:dyDescent="0.2">
      <c r="A197" s="16"/>
      <c r="B197" s="21" t="s">
        <v>214</v>
      </c>
      <c r="C197" s="13">
        <v>44470.943461342591</v>
      </c>
      <c r="D197" s="22">
        <v>-255.029</v>
      </c>
      <c r="E197" s="22">
        <v>238.93899999999999</v>
      </c>
      <c r="F197" s="22">
        <v>71.846999999999994</v>
      </c>
      <c r="G197" s="22">
        <v>-94.74</v>
      </c>
      <c r="H197" s="22">
        <v>116.83799999999999</v>
      </c>
      <c r="I197" s="22">
        <v>35.389000000000003</v>
      </c>
      <c r="J197" s="22">
        <v>0.22500000000000001</v>
      </c>
      <c r="K197" s="23">
        <f t="shared" si="9"/>
        <v>0.21445833333333317</v>
      </c>
      <c r="L197" s="22">
        <v>-219.08500000000001</v>
      </c>
      <c r="M197" s="22">
        <v>222.56100000000001</v>
      </c>
      <c r="N197" s="22">
        <v>63.866</v>
      </c>
      <c r="O197" s="22">
        <v>-86.332999999999998</v>
      </c>
      <c r="P197" s="22">
        <v>102.355</v>
      </c>
      <c r="Q197" s="22">
        <v>32.124000000000002</v>
      </c>
      <c r="R197" s="22">
        <v>0.22500000000000001</v>
      </c>
      <c r="S197" s="23">
        <f t="shared" si="10"/>
        <v>0.21470833333333314</v>
      </c>
      <c r="T197" s="22">
        <v>3.1549999999999998</v>
      </c>
      <c r="U197" s="31">
        <f t="shared" si="8"/>
        <v>1.6962365591397848</v>
      </c>
      <c r="V197" s="25"/>
      <c r="W197" s="25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</row>
    <row r="198" spans="1:42" ht="12.75" customHeight="1" x14ac:dyDescent="0.2">
      <c r="A198" s="16"/>
      <c r="B198" s="21" t="s">
        <v>215</v>
      </c>
      <c r="C198" s="13">
        <v>44470.964294618054</v>
      </c>
      <c r="D198" s="22">
        <v>-222.816</v>
      </c>
      <c r="E198" s="22">
        <v>212.279</v>
      </c>
      <c r="F198" s="22">
        <v>68.025999999999996</v>
      </c>
      <c r="G198" s="22">
        <v>-121.46</v>
      </c>
      <c r="H198" s="22">
        <v>94.783000000000001</v>
      </c>
      <c r="I198" s="22">
        <v>34.563000000000002</v>
      </c>
      <c r="J198" s="22">
        <v>0.21299999999999999</v>
      </c>
      <c r="K198" s="23">
        <f t="shared" si="9"/>
        <v>0.21445833333333317</v>
      </c>
      <c r="L198" s="22">
        <v>-177.018</v>
      </c>
      <c r="M198" s="22">
        <v>211.28399999999999</v>
      </c>
      <c r="N198" s="22">
        <v>57.933999999999997</v>
      </c>
      <c r="O198" s="22">
        <v>-96.792000000000002</v>
      </c>
      <c r="P198" s="22">
        <v>84.384</v>
      </c>
      <c r="Q198" s="22">
        <v>29.334</v>
      </c>
      <c r="R198" s="22">
        <v>0.21299999999999999</v>
      </c>
      <c r="S198" s="23">
        <f t="shared" si="10"/>
        <v>0.21470833333333314</v>
      </c>
      <c r="T198" s="22" t="s">
        <v>26</v>
      </c>
      <c r="U198" s="31" t="e">
        <f t="shared" si="8"/>
        <v>#VALUE!</v>
      </c>
      <c r="V198" s="25"/>
      <c r="W198" s="25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</row>
    <row r="199" spans="1:42" ht="12.75" customHeight="1" x14ac:dyDescent="0.2">
      <c r="A199" s="16"/>
      <c r="B199" s="21" t="s">
        <v>216</v>
      </c>
      <c r="C199" s="13">
        <v>44470.985127893517</v>
      </c>
      <c r="D199" s="22">
        <v>-281.92500000000001</v>
      </c>
      <c r="E199" s="22">
        <v>276.64600000000002</v>
      </c>
      <c r="F199" s="22">
        <v>79.813000000000002</v>
      </c>
      <c r="G199" s="22">
        <v>-131.04499999999999</v>
      </c>
      <c r="H199" s="22">
        <v>117.749</v>
      </c>
      <c r="I199" s="22">
        <v>41.987000000000002</v>
      </c>
      <c r="J199" s="22">
        <v>0.21299999999999999</v>
      </c>
      <c r="K199" s="23">
        <f t="shared" si="9"/>
        <v>0.21445833333333317</v>
      </c>
      <c r="L199" s="22">
        <v>-225.124</v>
      </c>
      <c r="M199" s="22">
        <v>266.64</v>
      </c>
      <c r="N199" s="22">
        <v>64.494</v>
      </c>
      <c r="O199" s="22">
        <v>-126.354</v>
      </c>
      <c r="P199" s="22">
        <v>84.453999999999994</v>
      </c>
      <c r="Q199" s="22">
        <v>33.439</v>
      </c>
      <c r="R199" s="22">
        <v>0.22500000000000001</v>
      </c>
      <c r="S199" s="23">
        <f t="shared" si="10"/>
        <v>0.21470833333333314</v>
      </c>
      <c r="T199" s="22">
        <v>3.1379999999999999</v>
      </c>
      <c r="U199" s="31">
        <f t="shared" si="8"/>
        <v>1.6870967741935483</v>
      </c>
      <c r="V199" s="25"/>
      <c r="W199" s="25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</row>
    <row r="200" spans="1:42" ht="12.75" customHeight="1" x14ac:dyDescent="0.2">
      <c r="A200" s="11">
        <v>5</v>
      </c>
      <c r="B200" s="12" t="s">
        <v>217</v>
      </c>
      <c r="C200" s="13">
        <v>44471.005961168979</v>
      </c>
      <c r="D200" s="14">
        <v>-240.45699999999999</v>
      </c>
      <c r="E200" s="14">
        <v>273.65899999999999</v>
      </c>
      <c r="F200" s="14">
        <v>74.343999999999994</v>
      </c>
      <c r="G200" s="14">
        <v>-136.374</v>
      </c>
      <c r="H200" s="14">
        <v>82.108000000000004</v>
      </c>
      <c r="I200" s="14">
        <v>39.956000000000003</v>
      </c>
      <c r="J200" s="14">
        <v>0.22500000000000001</v>
      </c>
      <c r="K200" s="15">
        <f>AVERAGE(J200:J247)</f>
        <v>0.22141666666666651</v>
      </c>
      <c r="L200" s="14">
        <v>-178.054</v>
      </c>
      <c r="M200" s="14">
        <v>227.62100000000001</v>
      </c>
      <c r="N200" s="14">
        <v>58.747</v>
      </c>
      <c r="O200" s="14">
        <v>-103.992</v>
      </c>
      <c r="P200" s="14">
        <v>82.480999999999995</v>
      </c>
      <c r="Q200" s="14">
        <v>31.858000000000001</v>
      </c>
      <c r="R200" s="14">
        <v>0.2</v>
      </c>
      <c r="S200" s="15">
        <f>AVERAGE(R200:R247)</f>
        <v>0.22014583333333315</v>
      </c>
      <c r="T200" s="14" t="s">
        <v>26</v>
      </c>
      <c r="U200" s="31" t="e">
        <f t="shared" si="8"/>
        <v>#VALUE!</v>
      </c>
      <c r="V200" s="2"/>
      <c r="W200" s="2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ht="12.75" customHeight="1" x14ac:dyDescent="0.2">
      <c r="A201" s="16"/>
      <c r="B201" s="12" t="s">
        <v>218</v>
      </c>
      <c r="C201" s="13">
        <v>44471.026794444442</v>
      </c>
      <c r="D201" s="14">
        <v>-286.68799999999999</v>
      </c>
      <c r="E201" s="14">
        <v>321.78100000000001</v>
      </c>
      <c r="F201" s="14">
        <v>82.213999999999999</v>
      </c>
      <c r="G201" s="14">
        <v>-151.994</v>
      </c>
      <c r="H201" s="14">
        <v>111.86799999999999</v>
      </c>
      <c r="I201" s="14">
        <v>44.860999999999997</v>
      </c>
      <c r="J201" s="14">
        <v>0.22500000000000001</v>
      </c>
      <c r="K201" s="15">
        <f t="shared" ref="K201:K247" si="11">K200</f>
        <v>0.22141666666666651</v>
      </c>
      <c r="L201" s="14">
        <v>-195.744</v>
      </c>
      <c r="M201" s="14">
        <v>288.29899999999998</v>
      </c>
      <c r="N201" s="14">
        <v>59.332000000000001</v>
      </c>
      <c r="O201" s="14">
        <v>-116.404</v>
      </c>
      <c r="P201" s="14">
        <v>88.873999999999995</v>
      </c>
      <c r="Q201" s="14">
        <v>32.728999999999999</v>
      </c>
      <c r="R201" s="14">
        <v>0.21299999999999999</v>
      </c>
      <c r="S201" s="15">
        <f t="shared" ref="S201:S247" si="12">S200</f>
        <v>0.22014583333333315</v>
      </c>
      <c r="T201" s="14">
        <v>2.6640000000000001</v>
      </c>
      <c r="U201" s="31">
        <f t="shared" ref="U201:U264" si="13">T201/1.86</f>
        <v>1.4322580645161291</v>
      </c>
      <c r="V201" s="2"/>
      <c r="W201" s="2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ht="12.75" customHeight="1" x14ac:dyDescent="0.2">
      <c r="A202" s="16"/>
      <c r="B202" s="12" t="s">
        <v>219</v>
      </c>
      <c r="C202" s="13">
        <v>44471.047627719905</v>
      </c>
      <c r="D202" s="14">
        <v>-280.89499999999998</v>
      </c>
      <c r="E202" s="14">
        <v>304.149</v>
      </c>
      <c r="F202" s="14">
        <v>76.703000000000003</v>
      </c>
      <c r="G202" s="14">
        <v>-133.57300000000001</v>
      </c>
      <c r="H202" s="14">
        <v>142.52199999999999</v>
      </c>
      <c r="I202" s="14">
        <v>43.271000000000001</v>
      </c>
      <c r="J202" s="14">
        <v>0.188</v>
      </c>
      <c r="K202" s="15">
        <f t="shared" si="11"/>
        <v>0.22141666666666651</v>
      </c>
      <c r="L202" s="14">
        <v>-246.48</v>
      </c>
      <c r="M202" s="14">
        <v>265.50599999999997</v>
      </c>
      <c r="N202" s="14">
        <v>60.223999999999997</v>
      </c>
      <c r="O202" s="14">
        <v>-108.292</v>
      </c>
      <c r="P202" s="14">
        <v>129.88399999999999</v>
      </c>
      <c r="Q202" s="14">
        <v>35.033999999999999</v>
      </c>
      <c r="R202" s="14">
        <v>0.2</v>
      </c>
      <c r="S202" s="15">
        <f t="shared" si="12"/>
        <v>0.22014583333333315</v>
      </c>
      <c r="T202" s="14" t="s">
        <v>26</v>
      </c>
      <c r="U202" s="31" t="e">
        <f t="shared" si="13"/>
        <v>#VALUE!</v>
      </c>
      <c r="V202" s="2"/>
      <c r="W202" s="2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ht="12.75" customHeight="1" x14ac:dyDescent="0.2">
      <c r="A203" s="16"/>
      <c r="B203" s="12" t="s">
        <v>220</v>
      </c>
      <c r="C203" s="13">
        <v>44471.068460995368</v>
      </c>
      <c r="D203" s="14">
        <v>-276.298</v>
      </c>
      <c r="E203" s="14">
        <v>339.82600000000002</v>
      </c>
      <c r="F203" s="14">
        <v>78.358999999999995</v>
      </c>
      <c r="G203" s="14">
        <v>-144.66399999999999</v>
      </c>
      <c r="H203" s="14">
        <v>156.678</v>
      </c>
      <c r="I203" s="14">
        <v>45.354999999999997</v>
      </c>
      <c r="J203" s="14">
        <v>0.22500000000000001</v>
      </c>
      <c r="K203" s="15">
        <f t="shared" si="11"/>
        <v>0.22141666666666651</v>
      </c>
      <c r="L203" s="14">
        <v>-194.75</v>
      </c>
      <c r="M203" s="14">
        <v>256.79399999999998</v>
      </c>
      <c r="N203" s="14">
        <v>63.3</v>
      </c>
      <c r="O203" s="14">
        <v>-105.604</v>
      </c>
      <c r="P203" s="14">
        <v>113.7</v>
      </c>
      <c r="Q203" s="14">
        <v>34.770000000000003</v>
      </c>
      <c r="R203" s="14">
        <v>0.2</v>
      </c>
      <c r="S203" s="15">
        <f t="shared" si="12"/>
        <v>0.22014583333333315</v>
      </c>
      <c r="T203" s="14">
        <v>3.5449999999999999</v>
      </c>
      <c r="U203" s="31">
        <f t="shared" si="13"/>
        <v>1.9059139784946235</v>
      </c>
      <c r="V203" s="2"/>
      <c r="W203" s="2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ht="12.75" customHeight="1" x14ac:dyDescent="0.2">
      <c r="A204" s="16"/>
      <c r="B204" s="12" t="s">
        <v>221</v>
      </c>
      <c r="C204" s="13">
        <v>44471.089294270831</v>
      </c>
      <c r="D204" s="14">
        <v>-243.15600000000001</v>
      </c>
      <c r="E204" s="14">
        <v>317.22699999999998</v>
      </c>
      <c r="F204" s="14">
        <v>82.13</v>
      </c>
      <c r="G204" s="14">
        <v>-143.143</v>
      </c>
      <c r="H204" s="14">
        <v>128.279</v>
      </c>
      <c r="I204" s="14">
        <v>46.518999999999998</v>
      </c>
      <c r="J204" s="14">
        <v>0.22500000000000001</v>
      </c>
      <c r="K204" s="15">
        <f t="shared" si="11"/>
        <v>0.22141666666666651</v>
      </c>
      <c r="L204" s="14">
        <v>-187.28</v>
      </c>
      <c r="M204" s="14">
        <v>289.28800000000001</v>
      </c>
      <c r="N204" s="14">
        <v>65.759</v>
      </c>
      <c r="O204" s="14">
        <v>-137.08000000000001</v>
      </c>
      <c r="P204" s="14">
        <v>128.70099999999999</v>
      </c>
      <c r="Q204" s="14">
        <v>36.476999999999997</v>
      </c>
      <c r="R204" s="14">
        <v>0.21299999999999999</v>
      </c>
      <c r="S204" s="15">
        <f t="shared" si="12"/>
        <v>0.22014583333333315</v>
      </c>
      <c r="T204" s="14" t="s">
        <v>26</v>
      </c>
      <c r="U204" s="31" t="e">
        <f t="shared" si="13"/>
        <v>#VALUE!</v>
      </c>
      <c r="V204" s="2"/>
      <c r="W204" s="2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ht="12.75" customHeight="1" x14ac:dyDescent="0.2">
      <c r="A205" s="16"/>
      <c r="B205" s="12" t="s">
        <v>222</v>
      </c>
      <c r="C205" s="13">
        <v>44471.110127546293</v>
      </c>
      <c r="D205" s="14">
        <v>-313.66399999999999</v>
      </c>
      <c r="E205" s="14">
        <v>342.83800000000002</v>
      </c>
      <c r="F205" s="14">
        <v>79.308999999999997</v>
      </c>
      <c r="G205" s="14">
        <v>-175.976</v>
      </c>
      <c r="H205" s="14">
        <v>148.059</v>
      </c>
      <c r="I205" s="14">
        <v>46.378</v>
      </c>
      <c r="J205" s="14">
        <v>0.22500000000000001</v>
      </c>
      <c r="K205" s="15">
        <f t="shared" si="11"/>
        <v>0.22141666666666651</v>
      </c>
      <c r="L205" s="14">
        <v>-212.64</v>
      </c>
      <c r="M205" s="14">
        <v>324.89499999999998</v>
      </c>
      <c r="N205" s="14">
        <v>61.674999999999997</v>
      </c>
      <c r="O205" s="14">
        <v>-132.971</v>
      </c>
      <c r="P205" s="14">
        <v>106.97799999999999</v>
      </c>
      <c r="Q205" s="14">
        <v>33.640999999999998</v>
      </c>
      <c r="R205" s="14">
        <v>0.22500000000000001</v>
      </c>
      <c r="S205" s="15">
        <f t="shared" si="12"/>
        <v>0.22014583333333315</v>
      </c>
      <c r="T205" s="14">
        <v>3.867</v>
      </c>
      <c r="U205" s="31">
        <f t="shared" si="13"/>
        <v>2.0790322580645162</v>
      </c>
      <c r="V205" s="2"/>
      <c r="W205" s="2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ht="12.75" customHeight="1" x14ac:dyDescent="0.2">
      <c r="A206" s="16"/>
      <c r="B206" s="12" t="s">
        <v>223</v>
      </c>
      <c r="C206" s="13">
        <v>44471.130960821756</v>
      </c>
      <c r="D206" s="14">
        <v>-240.357</v>
      </c>
      <c r="E206" s="14">
        <v>266.28899999999999</v>
      </c>
      <c r="F206" s="14">
        <v>76.578999999999994</v>
      </c>
      <c r="G206" s="14">
        <v>-114.077</v>
      </c>
      <c r="H206" s="14">
        <v>138.37200000000001</v>
      </c>
      <c r="I206" s="14">
        <v>44.168999999999997</v>
      </c>
      <c r="J206" s="14">
        <v>0.188</v>
      </c>
      <c r="K206" s="15">
        <f t="shared" si="11"/>
        <v>0.22141666666666651</v>
      </c>
      <c r="L206" s="14">
        <v>-197.059</v>
      </c>
      <c r="M206" s="14">
        <v>305.42899999999997</v>
      </c>
      <c r="N206" s="14">
        <v>62.22</v>
      </c>
      <c r="O206" s="14">
        <v>-122.8</v>
      </c>
      <c r="P206" s="14">
        <v>88.988</v>
      </c>
      <c r="Q206" s="14">
        <v>33.295999999999999</v>
      </c>
      <c r="R206" s="14">
        <v>0.21299999999999999</v>
      </c>
      <c r="S206" s="15">
        <f t="shared" si="12"/>
        <v>0.22014583333333315</v>
      </c>
      <c r="T206" s="14" t="s">
        <v>26</v>
      </c>
      <c r="U206" s="31" t="e">
        <f t="shared" si="13"/>
        <v>#VALUE!</v>
      </c>
      <c r="V206" s="2"/>
      <c r="W206" s="2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ht="12.75" customHeight="1" x14ac:dyDescent="0.2">
      <c r="A207" s="16"/>
      <c r="B207" s="12" t="s">
        <v>224</v>
      </c>
      <c r="C207" s="13">
        <v>44471.151794097219</v>
      </c>
      <c r="D207" s="14">
        <v>-331.601</v>
      </c>
      <c r="E207" s="14">
        <v>339.142</v>
      </c>
      <c r="F207" s="14">
        <v>73.480999999999995</v>
      </c>
      <c r="G207" s="14">
        <v>-153.72</v>
      </c>
      <c r="H207" s="14">
        <v>143.00299999999999</v>
      </c>
      <c r="I207" s="14">
        <v>41.439</v>
      </c>
      <c r="J207" s="14">
        <v>0.22500000000000001</v>
      </c>
      <c r="K207" s="15">
        <f t="shared" si="11"/>
        <v>0.22141666666666651</v>
      </c>
      <c r="L207" s="14">
        <v>-215.01499999999999</v>
      </c>
      <c r="M207" s="14">
        <v>337.49900000000002</v>
      </c>
      <c r="N207" s="14">
        <v>63.070999999999998</v>
      </c>
      <c r="O207" s="14">
        <v>-99.242999999999995</v>
      </c>
      <c r="P207" s="14">
        <v>115.67100000000001</v>
      </c>
      <c r="Q207" s="14">
        <v>34.378999999999998</v>
      </c>
      <c r="R207" s="14">
        <v>0.21299999999999999</v>
      </c>
      <c r="S207" s="15">
        <f t="shared" si="12"/>
        <v>0.22014583333333315</v>
      </c>
      <c r="T207" s="14">
        <v>3.0019999999999998</v>
      </c>
      <c r="U207" s="31">
        <f t="shared" si="13"/>
        <v>1.6139784946236557</v>
      </c>
      <c r="V207" s="2"/>
      <c r="W207" s="2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ht="12.75" customHeight="1" x14ac:dyDescent="0.2">
      <c r="A208" s="16"/>
      <c r="B208" s="12" t="s">
        <v>225</v>
      </c>
      <c r="C208" s="13">
        <v>44471.172627372682</v>
      </c>
      <c r="D208" s="14">
        <v>-329.27</v>
      </c>
      <c r="E208" s="14">
        <v>296.37700000000001</v>
      </c>
      <c r="F208" s="14">
        <v>75.766999999999996</v>
      </c>
      <c r="G208" s="14">
        <v>-142.47499999999999</v>
      </c>
      <c r="H208" s="14">
        <v>128.15700000000001</v>
      </c>
      <c r="I208" s="14">
        <v>43.238999999999997</v>
      </c>
      <c r="J208" s="14">
        <v>0.21299999999999999</v>
      </c>
      <c r="K208" s="15">
        <f t="shared" si="11"/>
        <v>0.22141666666666651</v>
      </c>
      <c r="L208" s="14">
        <v>-214.374</v>
      </c>
      <c r="M208" s="14">
        <v>297.108</v>
      </c>
      <c r="N208" s="14">
        <v>62.997</v>
      </c>
      <c r="O208" s="14">
        <v>-111.36</v>
      </c>
      <c r="P208" s="14">
        <v>103.45099999999999</v>
      </c>
      <c r="Q208" s="14">
        <v>33.558</v>
      </c>
      <c r="R208" s="14">
        <v>0.21299999999999999</v>
      </c>
      <c r="S208" s="15">
        <f t="shared" si="12"/>
        <v>0.22014583333333315</v>
      </c>
      <c r="T208" s="14" t="s">
        <v>26</v>
      </c>
      <c r="U208" s="31" t="e">
        <f t="shared" si="13"/>
        <v>#VALUE!</v>
      </c>
      <c r="V208" s="2"/>
      <c r="W208" s="2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ht="12.75" customHeight="1" x14ac:dyDescent="0.2">
      <c r="A209" s="16"/>
      <c r="B209" s="12" t="s">
        <v>226</v>
      </c>
      <c r="C209" s="13">
        <v>44471.193460648145</v>
      </c>
      <c r="D209" s="14">
        <v>-240.357</v>
      </c>
      <c r="E209" s="14">
        <v>258.62700000000001</v>
      </c>
      <c r="F209" s="14">
        <v>72.02</v>
      </c>
      <c r="G209" s="14">
        <v>-151.89099999999999</v>
      </c>
      <c r="H209" s="14">
        <v>101.515</v>
      </c>
      <c r="I209" s="14">
        <v>40.100999999999999</v>
      </c>
      <c r="J209" s="14">
        <v>0.21299999999999999</v>
      </c>
      <c r="K209" s="15">
        <f t="shared" si="11"/>
        <v>0.22141666666666651</v>
      </c>
      <c r="L209" s="14">
        <v>-197.95500000000001</v>
      </c>
      <c r="M209" s="14">
        <v>258.20600000000002</v>
      </c>
      <c r="N209" s="14">
        <v>63.148000000000003</v>
      </c>
      <c r="O209" s="14">
        <v>-112.16200000000001</v>
      </c>
      <c r="P209" s="14">
        <v>100.245</v>
      </c>
      <c r="Q209" s="14">
        <v>34.703000000000003</v>
      </c>
      <c r="R209" s="14">
        <v>0.21299999999999999</v>
      </c>
      <c r="S209" s="15">
        <f t="shared" si="12"/>
        <v>0.22014583333333315</v>
      </c>
      <c r="T209" s="14">
        <v>3.5150000000000001</v>
      </c>
      <c r="U209" s="31">
        <f t="shared" si="13"/>
        <v>1.889784946236559</v>
      </c>
      <c r="V209" s="2"/>
      <c r="W209" s="2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ht="12.75" customHeight="1" x14ac:dyDescent="0.2">
      <c r="A210" s="16"/>
      <c r="B210" s="12" t="s">
        <v>227</v>
      </c>
      <c r="C210" s="13">
        <v>44471.214293923615</v>
      </c>
      <c r="D210" s="14">
        <v>-262.21699999999998</v>
      </c>
      <c r="E210" s="14">
        <v>284.39299999999997</v>
      </c>
      <c r="F210" s="14">
        <v>72.03</v>
      </c>
      <c r="G210" s="14">
        <v>-139.34100000000001</v>
      </c>
      <c r="H210" s="14">
        <v>132.62200000000001</v>
      </c>
      <c r="I210" s="14">
        <v>40.118000000000002</v>
      </c>
      <c r="J210" s="14">
        <v>0.22500000000000001</v>
      </c>
      <c r="K210" s="15">
        <f t="shared" si="11"/>
        <v>0.22141666666666651</v>
      </c>
      <c r="L210" s="14">
        <v>-228.85300000000001</v>
      </c>
      <c r="M210" s="14">
        <v>315.21199999999999</v>
      </c>
      <c r="N210" s="14">
        <v>65.59</v>
      </c>
      <c r="O210" s="14">
        <v>-112.849</v>
      </c>
      <c r="P210" s="14">
        <v>121.768</v>
      </c>
      <c r="Q210" s="14">
        <v>36.155999999999999</v>
      </c>
      <c r="R210" s="14">
        <v>0.22500000000000001</v>
      </c>
      <c r="S210" s="15">
        <f t="shared" si="12"/>
        <v>0.22014583333333315</v>
      </c>
      <c r="T210" s="14" t="s">
        <v>26</v>
      </c>
      <c r="U210" s="31" t="e">
        <f t="shared" si="13"/>
        <v>#VALUE!</v>
      </c>
      <c r="V210" s="2"/>
      <c r="W210" s="2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ht="12.75" customHeight="1" x14ac:dyDescent="0.2">
      <c r="A211" s="16"/>
      <c r="B211" s="12" t="s">
        <v>228</v>
      </c>
      <c r="C211" s="13">
        <v>44471.235127199077</v>
      </c>
      <c r="D211" s="14">
        <v>-270.28199999999998</v>
      </c>
      <c r="E211" s="14">
        <v>308.55099999999999</v>
      </c>
      <c r="F211" s="14">
        <v>75.311000000000007</v>
      </c>
      <c r="G211" s="14">
        <v>-131.93100000000001</v>
      </c>
      <c r="H211" s="14">
        <v>146.27799999999999</v>
      </c>
      <c r="I211" s="14">
        <v>41.966999999999999</v>
      </c>
      <c r="J211" s="14">
        <v>0.22500000000000001</v>
      </c>
      <c r="K211" s="15">
        <f t="shared" si="11"/>
        <v>0.22141666666666651</v>
      </c>
      <c r="L211" s="14">
        <v>-233.881</v>
      </c>
      <c r="M211" s="14">
        <v>314.33800000000002</v>
      </c>
      <c r="N211" s="14">
        <v>64.100999999999999</v>
      </c>
      <c r="O211" s="14">
        <v>-91.656999999999996</v>
      </c>
      <c r="P211" s="14">
        <v>139.983</v>
      </c>
      <c r="Q211" s="14">
        <v>34.286999999999999</v>
      </c>
      <c r="R211" s="14">
        <v>0.22500000000000001</v>
      </c>
      <c r="S211" s="15">
        <f t="shared" si="12"/>
        <v>0.22014583333333315</v>
      </c>
      <c r="T211" s="14">
        <v>3.714</v>
      </c>
      <c r="U211" s="31">
        <f t="shared" si="13"/>
        <v>1.9967741935483869</v>
      </c>
      <c r="V211" s="2"/>
      <c r="W211" s="2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ht="12.75" customHeight="1" x14ac:dyDescent="0.2">
      <c r="A212" s="16"/>
      <c r="B212" s="12" t="s">
        <v>229</v>
      </c>
      <c r="C212" s="13">
        <v>44471.25596047454</v>
      </c>
      <c r="D212" s="14">
        <v>-259.20600000000002</v>
      </c>
      <c r="E212" s="14">
        <v>305.92200000000003</v>
      </c>
      <c r="F212" s="14">
        <v>77.421000000000006</v>
      </c>
      <c r="G212" s="14">
        <v>-135.84200000000001</v>
      </c>
      <c r="H212" s="14">
        <v>165.077</v>
      </c>
      <c r="I212" s="14">
        <v>43.33</v>
      </c>
      <c r="J212" s="14">
        <v>0.22500000000000001</v>
      </c>
      <c r="K212" s="15">
        <f t="shared" si="11"/>
        <v>0.22141666666666651</v>
      </c>
      <c r="L212" s="14">
        <v>-198.07</v>
      </c>
      <c r="M212" s="14">
        <v>311.53100000000001</v>
      </c>
      <c r="N212" s="14">
        <v>67.097999999999999</v>
      </c>
      <c r="O212" s="14">
        <v>-126.369</v>
      </c>
      <c r="P212" s="14">
        <v>110.161</v>
      </c>
      <c r="Q212" s="14">
        <v>36.612000000000002</v>
      </c>
      <c r="R212" s="14">
        <v>0.22500000000000001</v>
      </c>
      <c r="S212" s="15">
        <f t="shared" si="12"/>
        <v>0.22014583333333315</v>
      </c>
      <c r="T212" s="14" t="s">
        <v>26</v>
      </c>
      <c r="U212" s="31" t="e">
        <f t="shared" si="13"/>
        <v>#VALUE!</v>
      </c>
      <c r="V212" s="2"/>
      <c r="W212" s="2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ht="12.75" customHeight="1" x14ac:dyDescent="0.2">
      <c r="A213" s="16"/>
      <c r="B213" s="12" t="s">
        <v>230</v>
      </c>
      <c r="C213" s="13">
        <v>44471.276793750003</v>
      </c>
      <c r="D213" s="14">
        <v>-264.49599999999998</v>
      </c>
      <c r="E213" s="14">
        <v>246.44499999999999</v>
      </c>
      <c r="F213" s="14">
        <v>74.725999999999999</v>
      </c>
      <c r="G213" s="14">
        <v>-112.855</v>
      </c>
      <c r="H213" s="14">
        <v>130.12</v>
      </c>
      <c r="I213" s="14">
        <v>41.301000000000002</v>
      </c>
      <c r="J213" s="14">
        <v>0.22500000000000001</v>
      </c>
      <c r="K213" s="15">
        <f t="shared" si="11"/>
        <v>0.22141666666666651</v>
      </c>
      <c r="L213" s="14">
        <v>-266.86700000000002</v>
      </c>
      <c r="M213" s="14">
        <v>382.423</v>
      </c>
      <c r="N213" s="14">
        <v>66.674000000000007</v>
      </c>
      <c r="O213" s="14">
        <v>-140.58600000000001</v>
      </c>
      <c r="P213" s="14">
        <v>99.912000000000006</v>
      </c>
      <c r="Q213" s="14">
        <v>35.988999999999997</v>
      </c>
      <c r="R213" s="14">
        <v>0.21299999999999999</v>
      </c>
      <c r="S213" s="15">
        <f t="shared" si="12"/>
        <v>0.22014583333333315</v>
      </c>
      <c r="T213" s="14">
        <v>3.2629999999999999</v>
      </c>
      <c r="U213" s="31">
        <f t="shared" si="13"/>
        <v>1.7543010752688171</v>
      </c>
      <c r="V213" s="2"/>
      <c r="W213" s="2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ht="12.75" customHeight="1" x14ac:dyDescent="0.2">
      <c r="A214" s="16"/>
      <c r="B214" s="12" t="s">
        <v>231</v>
      </c>
      <c r="C214" s="13">
        <v>44471.297627025466</v>
      </c>
      <c r="D214" s="14">
        <v>-312.25099999999998</v>
      </c>
      <c r="E214" s="14">
        <v>347.70299999999997</v>
      </c>
      <c r="F214" s="14">
        <v>75.102000000000004</v>
      </c>
      <c r="G214" s="14">
        <v>-171.26400000000001</v>
      </c>
      <c r="H214" s="14">
        <v>135.38300000000001</v>
      </c>
      <c r="I214" s="14">
        <v>42.981000000000002</v>
      </c>
      <c r="J214" s="14">
        <v>0.22500000000000001</v>
      </c>
      <c r="K214" s="15">
        <f t="shared" si="11"/>
        <v>0.22141666666666651</v>
      </c>
      <c r="L214" s="14">
        <v>-205.11699999999999</v>
      </c>
      <c r="M214" s="14">
        <v>328.79599999999999</v>
      </c>
      <c r="N214" s="14">
        <v>68.400000000000006</v>
      </c>
      <c r="O214" s="14">
        <v>-116.871</v>
      </c>
      <c r="P214" s="14">
        <v>123.001</v>
      </c>
      <c r="Q214" s="14">
        <v>36.466999999999999</v>
      </c>
      <c r="R214" s="14">
        <v>0.2</v>
      </c>
      <c r="S214" s="15">
        <f t="shared" si="12"/>
        <v>0.22014583333333315</v>
      </c>
      <c r="T214" s="14" t="s">
        <v>26</v>
      </c>
      <c r="U214" s="31" t="e">
        <f t="shared" si="13"/>
        <v>#VALUE!</v>
      </c>
      <c r="V214" s="2"/>
      <c r="W214" s="2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ht="12.75" customHeight="1" x14ac:dyDescent="0.2">
      <c r="A215" s="16"/>
      <c r="B215" s="12" t="s">
        <v>232</v>
      </c>
      <c r="C215" s="13">
        <v>44471.318460300929</v>
      </c>
      <c r="D215" s="14">
        <v>-256.15199999999999</v>
      </c>
      <c r="E215" s="14">
        <v>311.60500000000002</v>
      </c>
      <c r="F215" s="14">
        <v>69.075000000000003</v>
      </c>
      <c r="G215" s="14">
        <v>-157.166</v>
      </c>
      <c r="H215" s="14">
        <v>129.77799999999999</v>
      </c>
      <c r="I215" s="14">
        <v>41.618000000000002</v>
      </c>
      <c r="J215" s="14">
        <v>0.2</v>
      </c>
      <c r="K215" s="15">
        <f t="shared" si="11"/>
        <v>0.22141666666666651</v>
      </c>
      <c r="L215" s="14">
        <v>-218.071</v>
      </c>
      <c r="M215" s="14">
        <v>293.58300000000003</v>
      </c>
      <c r="N215" s="14">
        <v>59.911000000000001</v>
      </c>
      <c r="O215" s="14">
        <v>-121.959</v>
      </c>
      <c r="P215" s="14">
        <v>112.008</v>
      </c>
      <c r="Q215" s="14">
        <v>32.475999999999999</v>
      </c>
      <c r="R215" s="14">
        <v>0.22500000000000001</v>
      </c>
      <c r="S215" s="15">
        <f t="shared" si="12"/>
        <v>0.22014583333333315</v>
      </c>
      <c r="T215" s="14">
        <v>2.5070000000000001</v>
      </c>
      <c r="U215" s="31">
        <f t="shared" si="13"/>
        <v>1.3478494623655914</v>
      </c>
      <c r="V215" s="2"/>
      <c r="W215" s="2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ht="12.75" customHeight="1" x14ac:dyDescent="0.2">
      <c r="A216" s="16"/>
      <c r="B216" s="12" t="s">
        <v>233</v>
      </c>
      <c r="C216" s="13">
        <v>44471.339293576391</v>
      </c>
      <c r="D216" s="14">
        <v>-315.31400000000002</v>
      </c>
      <c r="E216" s="14">
        <v>253.482</v>
      </c>
      <c r="F216" s="14">
        <v>72.665999999999997</v>
      </c>
      <c r="G216" s="14">
        <v>-125.532</v>
      </c>
      <c r="H216" s="14">
        <v>126.351</v>
      </c>
      <c r="I216" s="14">
        <v>40.305999999999997</v>
      </c>
      <c r="J216" s="14">
        <v>0.22500000000000001</v>
      </c>
      <c r="K216" s="15">
        <f t="shared" si="11"/>
        <v>0.22141666666666651</v>
      </c>
      <c r="L216" s="14">
        <v>-198.453</v>
      </c>
      <c r="M216" s="14">
        <v>315.12700000000001</v>
      </c>
      <c r="N216" s="14">
        <v>63.588000000000001</v>
      </c>
      <c r="O216" s="14">
        <v>-116.175</v>
      </c>
      <c r="P216" s="14">
        <v>108.011</v>
      </c>
      <c r="Q216" s="14">
        <v>33.808</v>
      </c>
      <c r="R216" s="14">
        <v>0.22500000000000001</v>
      </c>
      <c r="S216" s="15">
        <f t="shared" si="12"/>
        <v>0.22014583333333315</v>
      </c>
      <c r="T216" s="14" t="s">
        <v>26</v>
      </c>
      <c r="U216" s="31" t="e">
        <f t="shared" si="13"/>
        <v>#VALUE!</v>
      </c>
      <c r="V216" s="2"/>
      <c r="W216" s="2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ht="12.75" customHeight="1" x14ac:dyDescent="0.2">
      <c r="A217" s="16"/>
      <c r="B217" s="12" t="s">
        <v>234</v>
      </c>
      <c r="C217" s="13">
        <v>44471.360126851854</v>
      </c>
      <c r="D217" s="14">
        <v>-265.49799999999999</v>
      </c>
      <c r="E217" s="14">
        <v>228.07400000000001</v>
      </c>
      <c r="F217" s="14">
        <v>67.718000000000004</v>
      </c>
      <c r="G217" s="14">
        <v>-114.283</v>
      </c>
      <c r="H217" s="14">
        <v>110.584</v>
      </c>
      <c r="I217" s="14">
        <v>38.276000000000003</v>
      </c>
      <c r="J217" s="14">
        <v>0.22500000000000001</v>
      </c>
      <c r="K217" s="15">
        <f t="shared" si="11"/>
        <v>0.22141666666666651</v>
      </c>
      <c r="L217" s="14">
        <v>-209.27</v>
      </c>
      <c r="M217" s="14">
        <v>277.78899999999999</v>
      </c>
      <c r="N217" s="14">
        <v>57.91</v>
      </c>
      <c r="O217" s="14">
        <v>-116.801</v>
      </c>
      <c r="P217" s="14">
        <v>105.449</v>
      </c>
      <c r="Q217" s="14">
        <v>31.053999999999998</v>
      </c>
      <c r="R217" s="14">
        <v>0.22500000000000001</v>
      </c>
      <c r="S217" s="15">
        <f t="shared" si="12"/>
        <v>0.22014583333333315</v>
      </c>
      <c r="T217" s="14">
        <v>2.3679999999999999</v>
      </c>
      <c r="U217" s="31">
        <f t="shared" si="13"/>
        <v>1.2731182795698923</v>
      </c>
      <c r="V217" s="2"/>
      <c r="W217" s="2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ht="12.75" customHeight="1" x14ac:dyDescent="0.2">
      <c r="A218" s="16"/>
      <c r="B218" s="12" t="s">
        <v>235</v>
      </c>
      <c r="C218" s="13">
        <v>44471.380960127317</v>
      </c>
      <c r="D218" s="14">
        <v>-269.75299999999999</v>
      </c>
      <c r="E218" s="14">
        <v>224.74700000000001</v>
      </c>
      <c r="F218" s="14">
        <v>64.820999999999998</v>
      </c>
      <c r="G218" s="14">
        <v>-118.789</v>
      </c>
      <c r="H218" s="14">
        <v>115.776</v>
      </c>
      <c r="I218" s="14">
        <v>37.051000000000002</v>
      </c>
      <c r="J218" s="14">
        <v>0.22500000000000001</v>
      </c>
      <c r="K218" s="15">
        <f t="shared" si="11"/>
        <v>0.22141666666666651</v>
      </c>
      <c r="L218" s="14">
        <v>-165.196</v>
      </c>
      <c r="M218" s="14">
        <v>254.99600000000001</v>
      </c>
      <c r="N218" s="14">
        <v>57.43</v>
      </c>
      <c r="O218" s="14">
        <v>-100.499</v>
      </c>
      <c r="P218" s="14">
        <v>102.014</v>
      </c>
      <c r="Q218" s="14">
        <v>32.057000000000002</v>
      </c>
      <c r="R218" s="14">
        <v>0.2</v>
      </c>
      <c r="S218" s="15">
        <f t="shared" si="12"/>
        <v>0.22014583333333315</v>
      </c>
      <c r="T218" s="14" t="s">
        <v>26</v>
      </c>
      <c r="U218" s="31" t="e">
        <f t="shared" si="13"/>
        <v>#VALUE!</v>
      </c>
      <c r="V218" s="2"/>
      <c r="W218" s="2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ht="12.75" customHeight="1" x14ac:dyDescent="0.2">
      <c r="A219" s="16"/>
      <c r="B219" s="12" t="s">
        <v>236</v>
      </c>
      <c r="C219" s="13">
        <v>44471.40179340278</v>
      </c>
      <c r="D219" s="14">
        <v>-235.22800000000001</v>
      </c>
      <c r="E219" s="14">
        <v>207.01300000000001</v>
      </c>
      <c r="F219" s="14">
        <v>62.368000000000002</v>
      </c>
      <c r="G219" s="14">
        <v>-124.011</v>
      </c>
      <c r="H219" s="14">
        <v>127.639</v>
      </c>
      <c r="I219" s="14">
        <v>35.618000000000002</v>
      </c>
      <c r="J219" s="14">
        <v>0.22500000000000001</v>
      </c>
      <c r="K219" s="15">
        <f t="shared" si="11"/>
        <v>0.22141666666666651</v>
      </c>
      <c r="L219" s="14">
        <v>-176.95</v>
      </c>
      <c r="M219" s="14">
        <v>233.98400000000001</v>
      </c>
      <c r="N219" s="14">
        <v>57.517000000000003</v>
      </c>
      <c r="O219" s="14">
        <v>-108.398</v>
      </c>
      <c r="P219" s="14">
        <v>83.57</v>
      </c>
      <c r="Q219" s="14">
        <v>31.442</v>
      </c>
      <c r="R219" s="14">
        <v>0.22500000000000001</v>
      </c>
      <c r="S219" s="15">
        <f t="shared" si="12"/>
        <v>0.22014583333333315</v>
      </c>
      <c r="T219" s="14">
        <v>2.282</v>
      </c>
      <c r="U219" s="31">
        <f t="shared" si="13"/>
        <v>1.2268817204301075</v>
      </c>
      <c r="V219" s="2"/>
      <c r="W219" s="2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ht="12.75" customHeight="1" x14ac:dyDescent="0.2">
      <c r="A220" s="16"/>
      <c r="B220" s="12" t="s">
        <v>237</v>
      </c>
      <c r="C220" s="13">
        <v>44471.422626678243</v>
      </c>
      <c r="D220" s="14">
        <v>-196.833</v>
      </c>
      <c r="E220" s="14">
        <v>205.51400000000001</v>
      </c>
      <c r="F220" s="14">
        <v>60.527000000000001</v>
      </c>
      <c r="G220" s="14">
        <v>-98.793999999999997</v>
      </c>
      <c r="H220" s="14">
        <v>102.977</v>
      </c>
      <c r="I220" s="14">
        <v>34.249000000000002</v>
      </c>
      <c r="J220" s="14">
        <v>0.21299999999999999</v>
      </c>
      <c r="K220" s="15">
        <f t="shared" si="11"/>
        <v>0.22141666666666651</v>
      </c>
      <c r="L220" s="14">
        <v>-164.57400000000001</v>
      </c>
      <c r="M220" s="14">
        <v>225.62200000000001</v>
      </c>
      <c r="N220" s="14">
        <v>54.600999999999999</v>
      </c>
      <c r="O220" s="14">
        <v>-106.997</v>
      </c>
      <c r="P220" s="14">
        <v>83.576999999999998</v>
      </c>
      <c r="Q220" s="14">
        <v>29.606999999999999</v>
      </c>
      <c r="R220" s="14">
        <v>0.21299999999999999</v>
      </c>
      <c r="S220" s="15">
        <f t="shared" si="12"/>
        <v>0.22014583333333315</v>
      </c>
      <c r="T220" s="14" t="s">
        <v>26</v>
      </c>
      <c r="U220" s="31" t="e">
        <f t="shared" si="13"/>
        <v>#VALUE!</v>
      </c>
      <c r="V220" s="2"/>
      <c r="W220" s="2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ht="12.75" customHeight="1" x14ac:dyDescent="0.2">
      <c r="A221" s="16"/>
      <c r="B221" s="12" t="s">
        <v>238</v>
      </c>
      <c r="C221" s="13">
        <v>44471.443459953705</v>
      </c>
      <c r="D221" s="14">
        <v>-192.399</v>
      </c>
      <c r="E221" s="14">
        <v>182.42599999999999</v>
      </c>
      <c r="F221" s="14">
        <v>57.454999999999998</v>
      </c>
      <c r="G221" s="14">
        <v>-113.08499999999999</v>
      </c>
      <c r="H221" s="14">
        <v>85.061000000000007</v>
      </c>
      <c r="I221" s="14">
        <v>32.277000000000001</v>
      </c>
      <c r="J221" s="14">
        <v>0.22500000000000001</v>
      </c>
      <c r="K221" s="15">
        <f t="shared" si="11"/>
        <v>0.22141666666666651</v>
      </c>
      <c r="L221" s="14">
        <v>-159.07300000000001</v>
      </c>
      <c r="M221" s="14">
        <v>195.642</v>
      </c>
      <c r="N221" s="14">
        <v>53.451999999999998</v>
      </c>
      <c r="O221" s="14">
        <v>-80.525999999999996</v>
      </c>
      <c r="P221" s="14">
        <v>106.96</v>
      </c>
      <c r="Q221" s="14">
        <v>29.768999999999998</v>
      </c>
      <c r="R221" s="14">
        <v>0.22500000000000001</v>
      </c>
      <c r="S221" s="15">
        <f t="shared" si="12"/>
        <v>0.22014583333333315</v>
      </c>
      <c r="T221" s="14">
        <v>2.593</v>
      </c>
      <c r="U221" s="31">
        <f t="shared" si="13"/>
        <v>1.3940860215053763</v>
      </c>
      <c r="V221" s="2"/>
      <c r="W221" s="2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ht="12.75" customHeight="1" x14ac:dyDescent="0.2">
      <c r="A222" s="16"/>
      <c r="B222" s="12" t="s">
        <v>239</v>
      </c>
      <c r="C222" s="13">
        <v>44471.464293229168</v>
      </c>
      <c r="D222" s="14">
        <v>-201.88200000000001</v>
      </c>
      <c r="E222" s="14">
        <v>213.96600000000001</v>
      </c>
      <c r="F222" s="14">
        <v>55.752000000000002</v>
      </c>
      <c r="G222" s="14">
        <v>-102.206</v>
      </c>
      <c r="H222" s="14">
        <v>105.14100000000001</v>
      </c>
      <c r="I222" s="14">
        <v>31.35</v>
      </c>
      <c r="J222" s="14">
        <v>0.22500000000000001</v>
      </c>
      <c r="K222" s="15">
        <f t="shared" si="11"/>
        <v>0.22141666666666651</v>
      </c>
      <c r="L222" s="14">
        <v>-192.54</v>
      </c>
      <c r="M222" s="14">
        <v>280.863</v>
      </c>
      <c r="N222" s="14">
        <v>53.295999999999999</v>
      </c>
      <c r="O222" s="14">
        <v>-107.07</v>
      </c>
      <c r="P222" s="14">
        <v>93.581999999999994</v>
      </c>
      <c r="Q222" s="14">
        <v>29.399000000000001</v>
      </c>
      <c r="R222" s="14">
        <v>0.22500000000000001</v>
      </c>
      <c r="S222" s="15">
        <f t="shared" si="12"/>
        <v>0.22014583333333315</v>
      </c>
      <c r="T222" s="14" t="s">
        <v>26</v>
      </c>
      <c r="U222" s="31" t="e">
        <f t="shared" si="13"/>
        <v>#VALUE!</v>
      </c>
      <c r="V222" s="2"/>
      <c r="W222" s="2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ht="12.75" customHeight="1" x14ac:dyDescent="0.2">
      <c r="A223" s="16"/>
      <c r="B223" s="12" t="s">
        <v>240</v>
      </c>
      <c r="C223" s="13">
        <v>44471.485126504631</v>
      </c>
      <c r="D223" s="14">
        <v>-206.08099999999999</v>
      </c>
      <c r="E223" s="14">
        <v>238.512</v>
      </c>
      <c r="F223" s="14">
        <v>56.448</v>
      </c>
      <c r="G223" s="14">
        <v>-109.17700000000001</v>
      </c>
      <c r="H223" s="14">
        <v>117.139</v>
      </c>
      <c r="I223" s="14">
        <v>31.577999999999999</v>
      </c>
      <c r="J223" s="14">
        <v>0.21299999999999999</v>
      </c>
      <c r="K223" s="15">
        <f t="shared" si="11"/>
        <v>0.22141666666666651</v>
      </c>
      <c r="L223" s="14">
        <v>-179.65799999999999</v>
      </c>
      <c r="M223" s="14">
        <v>246.08600000000001</v>
      </c>
      <c r="N223" s="14">
        <v>53.018999999999998</v>
      </c>
      <c r="O223" s="14">
        <v>-105.59099999999999</v>
      </c>
      <c r="P223" s="14">
        <v>83.676000000000002</v>
      </c>
      <c r="Q223" s="14">
        <v>29.152000000000001</v>
      </c>
      <c r="R223" s="14">
        <v>0.21299999999999999</v>
      </c>
      <c r="S223" s="15">
        <f t="shared" si="12"/>
        <v>0.22014583333333315</v>
      </c>
      <c r="T223" s="14">
        <v>1.968</v>
      </c>
      <c r="U223" s="31">
        <f t="shared" si="13"/>
        <v>1.0580645161290323</v>
      </c>
      <c r="V223" s="2"/>
      <c r="W223" s="2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ht="12.75" customHeight="1" x14ac:dyDescent="0.2">
      <c r="A224" s="16"/>
      <c r="B224" s="12" t="s">
        <v>241</v>
      </c>
      <c r="C224" s="13">
        <v>44471.505959780094</v>
      </c>
      <c r="D224" s="14">
        <v>-192.262</v>
      </c>
      <c r="E224" s="14">
        <v>239.67500000000001</v>
      </c>
      <c r="F224" s="14">
        <v>55.273000000000003</v>
      </c>
      <c r="G224" s="14">
        <v>-92.643000000000001</v>
      </c>
      <c r="H224" s="14">
        <v>110.413</v>
      </c>
      <c r="I224" s="14">
        <v>30.431000000000001</v>
      </c>
      <c r="J224" s="14">
        <v>0.22500000000000001</v>
      </c>
      <c r="K224" s="15">
        <f t="shared" si="11"/>
        <v>0.22141666666666651</v>
      </c>
      <c r="L224" s="14">
        <v>-161.983</v>
      </c>
      <c r="M224" s="14">
        <v>202.21199999999999</v>
      </c>
      <c r="N224" s="14">
        <v>50.731999999999999</v>
      </c>
      <c r="O224" s="14">
        <v>-118.268</v>
      </c>
      <c r="P224" s="14">
        <v>87.519000000000005</v>
      </c>
      <c r="Q224" s="14">
        <v>27.376000000000001</v>
      </c>
      <c r="R224" s="14">
        <v>0.22500000000000001</v>
      </c>
      <c r="S224" s="15">
        <f t="shared" si="12"/>
        <v>0.22014583333333315</v>
      </c>
      <c r="T224" s="14" t="s">
        <v>26</v>
      </c>
      <c r="U224" s="31" t="e">
        <f t="shared" si="13"/>
        <v>#VALUE!</v>
      </c>
      <c r="V224" s="2"/>
      <c r="W224" s="2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ht="12.75" customHeight="1" x14ac:dyDescent="0.2">
      <c r="A225" s="16"/>
      <c r="B225" s="12" t="s">
        <v>242</v>
      </c>
      <c r="C225" s="13">
        <v>44471.526793055556</v>
      </c>
      <c r="D225" s="14">
        <v>-201.54400000000001</v>
      </c>
      <c r="E225" s="14">
        <v>182.76</v>
      </c>
      <c r="F225" s="14">
        <v>52.341999999999999</v>
      </c>
      <c r="G225" s="14">
        <v>-93.108999999999995</v>
      </c>
      <c r="H225" s="14">
        <v>96.611000000000004</v>
      </c>
      <c r="I225" s="14">
        <v>29.600999999999999</v>
      </c>
      <c r="J225" s="14">
        <v>0.22500000000000001</v>
      </c>
      <c r="K225" s="15">
        <f t="shared" si="11"/>
        <v>0.22141666666666651</v>
      </c>
      <c r="L225" s="14">
        <v>-167.501</v>
      </c>
      <c r="M225" s="14">
        <v>189.67500000000001</v>
      </c>
      <c r="N225" s="14">
        <v>48.133000000000003</v>
      </c>
      <c r="O225" s="14">
        <v>-96.715000000000003</v>
      </c>
      <c r="P225" s="14">
        <v>74.945999999999998</v>
      </c>
      <c r="Q225" s="14">
        <v>25.463000000000001</v>
      </c>
      <c r="R225" s="14">
        <v>0.22500000000000001</v>
      </c>
      <c r="S225" s="15">
        <f t="shared" si="12"/>
        <v>0.22014583333333315</v>
      </c>
      <c r="T225" s="14">
        <v>1.7090000000000001</v>
      </c>
      <c r="U225" s="31">
        <f t="shared" si="13"/>
        <v>0.91881720430107527</v>
      </c>
      <c r="V225" s="2"/>
      <c r="W225" s="2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ht="12.75" customHeight="1" x14ac:dyDescent="0.2">
      <c r="A226" s="16"/>
      <c r="B226" s="12" t="s">
        <v>243</v>
      </c>
      <c r="C226" s="13">
        <v>44471.547626331019</v>
      </c>
      <c r="D226" s="14">
        <v>-171.47200000000001</v>
      </c>
      <c r="E226" s="14">
        <v>168.48400000000001</v>
      </c>
      <c r="F226" s="14">
        <v>50.587000000000003</v>
      </c>
      <c r="G226" s="14">
        <v>-84.658000000000001</v>
      </c>
      <c r="H226" s="14">
        <v>105.873</v>
      </c>
      <c r="I226" s="14">
        <v>28.593</v>
      </c>
      <c r="J226" s="14">
        <v>0.22500000000000001</v>
      </c>
      <c r="K226" s="15">
        <f t="shared" si="11"/>
        <v>0.22141666666666651</v>
      </c>
      <c r="L226" s="14">
        <v>-159.40299999999999</v>
      </c>
      <c r="M226" s="14">
        <v>163.233</v>
      </c>
      <c r="N226" s="14">
        <v>46.347999999999999</v>
      </c>
      <c r="O226" s="14">
        <v>-82.072999999999993</v>
      </c>
      <c r="P226" s="14">
        <v>82.515000000000001</v>
      </c>
      <c r="Q226" s="14">
        <v>25.266999999999999</v>
      </c>
      <c r="R226" s="14">
        <v>0.22500000000000001</v>
      </c>
      <c r="S226" s="15">
        <f t="shared" si="12"/>
        <v>0.22014583333333315</v>
      </c>
      <c r="T226" s="14" t="s">
        <v>26</v>
      </c>
      <c r="U226" s="31" t="e">
        <f t="shared" si="13"/>
        <v>#VALUE!</v>
      </c>
      <c r="V226" s="2"/>
      <c r="W226" s="2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ht="12.75" customHeight="1" x14ac:dyDescent="0.2">
      <c r="A227" s="16"/>
      <c r="B227" s="12" t="s">
        <v>244</v>
      </c>
      <c r="C227" s="13">
        <v>44471.568459606482</v>
      </c>
      <c r="D227" s="14">
        <v>-190.99199999999999</v>
      </c>
      <c r="E227" s="14">
        <v>157.07400000000001</v>
      </c>
      <c r="F227" s="14">
        <v>51.177</v>
      </c>
      <c r="G227" s="14">
        <v>-70.438000000000002</v>
      </c>
      <c r="H227" s="14">
        <v>100.974</v>
      </c>
      <c r="I227" s="14">
        <v>29.056000000000001</v>
      </c>
      <c r="J227" s="14">
        <v>0.22500000000000001</v>
      </c>
      <c r="K227" s="15">
        <f t="shared" si="11"/>
        <v>0.22141666666666651</v>
      </c>
      <c r="L227" s="14">
        <v>-157.774</v>
      </c>
      <c r="M227" s="14">
        <v>179.876</v>
      </c>
      <c r="N227" s="14">
        <v>48.143000000000001</v>
      </c>
      <c r="O227" s="14">
        <v>-93.92</v>
      </c>
      <c r="P227" s="14">
        <v>85.715999999999994</v>
      </c>
      <c r="Q227" s="14">
        <v>26.137</v>
      </c>
      <c r="R227" s="14">
        <v>0.22500000000000001</v>
      </c>
      <c r="S227" s="15">
        <f t="shared" si="12"/>
        <v>0.22014583333333315</v>
      </c>
      <c r="T227" s="14">
        <v>2.3519999999999999</v>
      </c>
      <c r="U227" s="31">
        <f t="shared" si="13"/>
        <v>1.264516129032258</v>
      </c>
      <c r="V227" s="2"/>
      <c r="W227" s="2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ht="12.75" customHeight="1" x14ac:dyDescent="0.2">
      <c r="A228" s="16"/>
      <c r="B228" s="12" t="s">
        <v>245</v>
      </c>
      <c r="C228" s="13">
        <v>44471.589292881945</v>
      </c>
      <c r="D228" s="14">
        <v>-182.303</v>
      </c>
      <c r="E228" s="14">
        <v>157.98500000000001</v>
      </c>
      <c r="F228" s="14">
        <v>49.908999999999999</v>
      </c>
      <c r="G228" s="14">
        <v>-88.028000000000006</v>
      </c>
      <c r="H228" s="14">
        <v>75.680000000000007</v>
      </c>
      <c r="I228" s="14">
        <v>27.420999999999999</v>
      </c>
      <c r="J228" s="14">
        <v>0.22500000000000001</v>
      </c>
      <c r="K228" s="15">
        <f t="shared" si="11"/>
        <v>0.22141666666666651</v>
      </c>
      <c r="L228" s="14">
        <v>-138.29300000000001</v>
      </c>
      <c r="M228" s="14">
        <v>177.43</v>
      </c>
      <c r="N228" s="14">
        <v>43.411000000000001</v>
      </c>
      <c r="O228" s="14">
        <v>-98.66</v>
      </c>
      <c r="P228" s="14">
        <v>60.789000000000001</v>
      </c>
      <c r="Q228" s="14">
        <v>24.056999999999999</v>
      </c>
      <c r="R228" s="14">
        <v>0.22500000000000001</v>
      </c>
      <c r="S228" s="15">
        <f t="shared" si="12"/>
        <v>0.22014583333333315</v>
      </c>
      <c r="T228" s="14" t="s">
        <v>26</v>
      </c>
      <c r="U228" s="31" t="e">
        <f t="shared" si="13"/>
        <v>#VALUE!</v>
      </c>
      <c r="V228" s="2"/>
      <c r="W228" s="2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ht="12.75" customHeight="1" x14ac:dyDescent="0.2">
      <c r="A229" s="16"/>
      <c r="B229" s="12" t="s">
        <v>246</v>
      </c>
      <c r="C229" s="13">
        <v>44471.610126157408</v>
      </c>
      <c r="D229" s="14">
        <v>-218.78700000000001</v>
      </c>
      <c r="E229" s="14">
        <v>144.03299999999999</v>
      </c>
      <c r="F229" s="14">
        <v>47.085000000000001</v>
      </c>
      <c r="G229" s="14">
        <v>-75.781999999999996</v>
      </c>
      <c r="H229" s="14">
        <v>101.736</v>
      </c>
      <c r="I229" s="14">
        <v>26.001000000000001</v>
      </c>
      <c r="J229" s="14">
        <v>0.22500000000000001</v>
      </c>
      <c r="K229" s="15">
        <f t="shared" si="11"/>
        <v>0.22141666666666651</v>
      </c>
      <c r="L229" s="14">
        <v>-133.10499999999999</v>
      </c>
      <c r="M229" s="14">
        <v>170.04499999999999</v>
      </c>
      <c r="N229" s="14">
        <v>42.704999999999998</v>
      </c>
      <c r="O229" s="14">
        <v>-67.971999999999994</v>
      </c>
      <c r="P229" s="14">
        <v>83.436999999999998</v>
      </c>
      <c r="Q229" s="14">
        <v>23.393999999999998</v>
      </c>
      <c r="R229" s="14">
        <v>0.22500000000000001</v>
      </c>
      <c r="S229" s="15">
        <f t="shared" si="12"/>
        <v>0.22014583333333315</v>
      </c>
      <c r="T229" s="14">
        <v>2.2320000000000002</v>
      </c>
      <c r="U229" s="31">
        <f t="shared" si="13"/>
        <v>1.2</v>
      </c>
      <c r="V229" s="2"/>
      <c r="W229" s="2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ht="12.75" customHeight="1" x14ac:dyDescent="0.2">
      <c r="A230" s="16"/>
      <c r="B230" s="12" t="s">
        <v>247</v>
      </c>
      <c r="C230" s="13">
        <v>44471.63095943287</v>
      </c>
      <c r="D230" s="14">
        <v>-185.422</v>
      </c>
      <c r="E230" s="14">
        <v>156.328</v>
      </c>
      <c r="F230" s="14">
        <v>46.762999999999998</v>
      </c>
      <c r="G230" s="14">
        <v>-88.537999999999997</v>
      </c>
      <c r="H230" s="14">
        <v>76.38</v>
      </c>
      <c r="I230" s="14">
        <v>25.741</v>
      </c>
      <c r="J230" s="14">
        <v>0.22500000000000001</v>
      </c>
      <c r="K230" s="15">
        <f t="shared" si="11"/>
        <v>0.22141666666666651</v>
      </c>
      <c r="L230" s="14">
        <v>-127.048</v>
      </c>
      <c r="M230" s="14">
        <v>162.31200000000001</v>
      </c>
      <c r="N230" s="14">
        <v>41.142000000000003</v>
      </c>
      <c r="O230" s="14">
        <v>-68.209000000000003</v>
      </c>
      <c r="P230" s="14">
        <v>69.948999999999998</v>
      </c>
      <c r="Q230" s="14">
        <v>22.225000000000001</v>
      </c>
      <c r="R230" s="14">
        <v>0.22500000000000001</v>
      </c>
      <c r="S230" s="15">
        <f t="shared" si="12"/>
        <v>0.22014583333333315</v>
      </c>
      <c r="T230" s="14" t="s">
        <v>26</v>
      </c>
      <c r="U230" s="31" t="e">
        <f t="shared" si="13"/>
        <v>#VALUE!</v>
      </c>
      <c r="V230" s="2"/>
      <c r="W230" s="2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ht="12.75" customHeight="1" x14ac:dyDescent="0.2">
      <c r="A231" s="16"/>
      <c r="B231" s="12" t="s">
        <v>248</v>
      </c>
      <c r="C231" s="13">
        <v>44471.651792708333</v>
      </c>
      <c r="D231" s="14">
        <v>-178.88300000000001</v>
      </c>
      <c r="E231" s="14">
        <v>162.28200000000001</v>
      </c>
      <c r="F231" s="14">
        <v>47.713000000000001</v>
      </c>
      <c r="G231" s="14">
        <v>-74.146000000000001</v>
      </c>
      <c r="H231" s="14">
        <v>88.58</v>
      </c>
      <c r="I231" s="14">
        <v>26.196000000000002</v>
      </c>
      <c r="J231" s="14">
        <v>0.22500000000000001</v>
      </c>
      <c r="K231" s="15">
        <f t="shared" si="11"/>
        <v>0.22141666666666651</v>
      </c>
      <c r="L231" s="14">
        <v>-139.38900000000001</v>
      </c>
      <c r="M231" s="14">
        <v>171.39</v>
      </c>
      <c r="N231" s="14">
        <v>42.774000000000001</v>
      </c>
      <c r="O231" s="14">
        <v>-72.64</v>
      </c>
      <c r="P231" s="14">
        <v>82.436000000000007</v>
      </c>
      <c r="Q231" s="14">
        <v>22.818000000000001</v>
      </c>
      <c r="R231" s="14">
        <v>0.22500000000000001</v>
      </c>
      <c r="S231" s="15">
        <f t="shared" si="12"/>
        <v>0.22014583333333315</v>
      </c>
      <c r="T231" s="14">
        <v>1.7769999999999999</v>
      </c>
      <c r="U231" s="31">
        <f t="shared" si="13"/>
        <v>0.95537634408602146</v>
      </c>
      <c r="V231" s="2"/>
      <c r="W231" s="2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ht="12.75" customHeight="1" x14ac:dyDescent="0.2">
      <c r="A232" s="16"/>
      <c r="B232" s="12" t="s">
        <v>249</v>
      </c>
      <c r="C232" s="13">
        <v>44471.672625983796</v>
      </c>
      <c r="D232" s="14">
        <v>-171.84299999999999</v>
      </c>
      <c r="E232" s="14">
        <v>146.17400000000001</v>
      </c>
      <c r="F232" s="14">
        <v>46.645000000000003</v>
      </c>
      <c r="G232" s="14">
        <v>-90.114000000000004</v>
      </c>
      <c r="H232" s="14">
        <v>89.375</v>
      </c>
      <c r="I232" s="14">
        <v>25.513000000000002</v>
      </c>
      <c r="J232" s="14">
        <v>0.22500000000000001</v>
      </c>
      <c r="K232" s="15">
        <f t="shared" si="11"/>
        <v>0.22141666666666651</v>
      </c>
      <c r="L232" s="14">
        <v>-139.983</v>
      </c>
      <c r="M232" s="14">
        <v>208.45500000000001</v>
      </c>
      <c r="N232" s="14">
        <v>45.570999999999998</v>
      </c>
      <c r="O232" s="14">
        <v>-86.897000000000006</v>
      </c>
      <c r="P232" s="14">
        <v>63.64</v>
      </c>
      <c r="Q232" s="14">
        <v>24.620999999999999</v>
      </c>
      <c r="R232" s="14">
        <v>0.22500000000000001</v>
      </c>
      <c r="S232" s="15">
        <f t="shared" si="12"/>
        <v>0.22014583333333315</v>
      </c>
      <c r="T232" s="14" t="s">
        <v>26</v>
      </c>
      <c r="U232" s="31" t="e">
        <f t="shared" si="13"/>
        <v>#VALUE!</v>
      </c>
      <c r="V232" s="2"/>
      <c r="W232" s="2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ht="12.75" customHeight="1" x14ac:dyDescent="0.2">
      <c r="A233" s="16"/>
      <c r="B233" s="12" t="s">
        <v>250</v>
      </c>
      <c r="C233" s="13">
        <v>44471.693459259259</v>
      </c>
      <c r="D233" s="14">
        <v>-173.92699999999999</v>
      </c>
      <c r="E233" s="14">
        <v>161.709</v>
      </c>
      <c r="F233" s="14">
        <v>46.353000000000002</v>
      </c>
      <c r="G233" s="14">
        <v>-75.724000000000004</v>
      </c>
      <c r="H233" s="14">
        <v>83.768000000000001</v>
      </c>
      <c r="I233" s="14">
        <v>25.640999999999998</v>
      </c>
      <c r="J233" s="14">
        <v>0.2</v>
      </c>
      <c r="K233" s="15">
        <f t="shared" si="11"/>
        <v>0.22141666666666651</v>
      </c>
      <c r="L233" s="14">
        <v>-140.46799999999999</v>
      </c>
      <c r="M233" s="14">
        <v>167.75399999999999</v>
      </c>
      <c r="N233" s="14">
        <v>41.889000000000003</v>
      </c>
      <c r="O233" s="14">
        <v>-78.712999999999994</v>
      </c>
      <c r="P233" s="14">
        <v>75.700999999999993</v>
      </c>
      <c r="Q233" s="14">
        <v>22.593</v>
      </c>
      <c r="R233" s="14">
        <v>0.22500000000000001</v>
      </c>
      <c r="S233" s="15">
        <f t="shared" si="12"/>
        <v>0.22014583333333315</v>
      </c>
      <c r="T233" s="14">
        <v>1.8260000000000001</v>
      </c>
      <c r="U233" s="31">
        <f t="shared" si="13"/>
        <v>0.98172043010752685</v>
      </c>
      <c r="V233" s="2"/>
      <c r="W233" s="2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ht="12.75" customHeight="1" x14ac:dyDescent="0.2">
      <c r="A234" s="16"/>
      <c r="B234" s="12" t="s">
        <v>251</v>
      </c>
      <c r="C234" s="13">
        <v>44471.714292534722</v>
      </c>
      <c r="D234" s="14">
        <v>-139.816</v>
      </c>
      <c r="E234" s="14">
        <v>153.173</v>
      </c>
      <c r="F234" s="14">
        <v>43.292000000000002</v>
      </c>
      <c r="G234" s="14">
        <v>-83.724999999999994</v>
      </c>
      <c r="H234" s="14">
        <v>64.867999999999995</v>
      </c>
      <c r="I234" s="14">
        <v>24.120999999999999</v>
      </c>
      <c r="J234" s="14">
        <v>0.22500000000000001</v>
      </c>
      <c r="K234" s="15">
        <f t="shared" si="11"/>
        <v>0.22141666666666651</v>
      </c>
      <c r="L234" s="14">
        <v>-136.28100000000001</v>
      </c>
      <c r="M234" s="14">
        <v>151.69499999999999</v>
      </c>
      <c r="N234" s="14">
        <v>40.957000000000001</v>
      </c>
      <c r="O234" s="14">
        <v>-78.558000000000007</v>
      </c>
      <c r="P234" s="14">
        <v>57.747999999999998</v>
      </c>
      <c r="Q234" s="14">
        <v>22.135999999999999</v>
      </c>
      <c r="R234" s="14">
        <v>0.22500000000000001</v>
      </c>
      <c r="S234" s="15">
        <f t="shared" si="12"/>
        <v>0.22014583333333315</v>
      </c>
      <c r="T234" s="14" t="s">
        <v>26</v>
      </c>
      <c r="U234" s="31" t="e">
        <f t="shared" si="13"/>
        <v>#VALUE!</v>
      </c>
      <c r="V234" s="2"/>
      <c r="W234" s="2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ht="12.75" customHeight="1" x14ac:dyDescent="0.2">
      <c r="A235" s="16"/>
      <c r="B235" s="12" t="s">
        <v>252</v>
      </c>
      <c r="C235" s="13">
        <v>44471.735125810184</v>
      </c>
      <c r="D235" s="14">
        <v>-183.15</v>
      </c>
      <c r="E235" s="14">
        <v>161.994</v>
      </c>
      <c r="F235" s="14">
        <v>46.89</v>
      </c>
      <c r="G235" s="14">
        <v>-88.084999999999994</v>
      </c>
      <c r="H235" s="14">
        <v>68.870999999999995</v>
      </c>
      <c r="I235" s="14">
        <v>25.414000000000001</v>
      </c>
      <c r="J235" s="14">
        <v>0.22500000000000001</v>
      </c>
      <c r="K235" s="15">
        <f t="shared" si="11"/>
        <v>0.22141666666666651</v>
      </c>
      <c r="L235" s="14">
        <v>-131.10499999999999</v>
      </c>
      <c r="M235" s="14">
        <v>147.28200000000001</v>
      </c>
      <c r="N235" s="14">
        <v>40.441000000000003</v>
      </c>
      <c r="O235" s="14">
        <v>-64.850999999999999</v>
      </c>
      <c r="P235" s="14">
        <v>65.334000000000003</v>
      </c>
      <c r="Q235" s="14">
        <v>21.381</v>
      </c>
      <c r="R235" s="14">
        <v>0.22500000000000001</v>
      </c>
      <c r="S235" s="15">
        <f t="shared" si="12"/>
        <v>0.22014583333333315</v>
      </c>
      <c r="T235" s="14">
        <v>1.4690000000000001</v>
      </c>
      <c r="U235" s="31">
        <f t="shared" si="13"/>
        <v>0.78978494623655915</v>
      </c>
      <c r="V235" s="2"/>
      <c r="W235" s="2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ht="12.75" customHeight="1" x14ac:dyDescent="0.2">
      <c r="A236" s="16"/>
      <c r="B236" s="12" t="s">
        <v>253</v>
      </c>
      <c r="C236" s="13">
        <v>44471.755959085647</v>
      </c>
      <c r="D236" s="14">
        <v>-151.155</v>
      </c>
      <c r="E236" s="14">
        <v>162.43199999999999</v>
      </c>
      <c r="F236" s="14">
        <v>43.828000000000003</v>
      </c>
      <c r="G236" s="14">
        <v>-68.275999999999996</v>
      </c>
      <c r="H236" s="14">
        <v>83.070999999999998</v>
      </c>
      <c r="I236" s="14">
        <v>23.241</v>
      </c>
      <c r="J236" s="14">
        <v>0.22500000000000001</v>
      </c>
      <c r="K236" s="15">
        <f t="shared" si="11"/>
        <v>0.22141666666666651</v>
      </c>
      <c r="L236" s="14">
        <v>-147.017</v>
      </c>
      <c r="M236" s="14">
        <v>173.21700000000001</v>
      </c>
      <c r="N236" s="14">
        <v>41.786000000000001</v>
      </c>
      <c r="O236" s="14">
        <v>-70.792000000000002</v>
      </c>
      <c r="P236" s="14">
        <v>71.075999999999993</v>
      </c>
      <c r="Q236" s="14">
        <v>21.782</v>
      </c>
      <c r="R236" s="14">
        <v>0.22500000000000001</v>
      </c>
      <c r="S236" s="15">
        <f t="shared" si="12"/>
        <v>0.22014583333333315</v>
      </c>
      <c r="T236" s="14" t="s">
        <v>26</v>
      </c>
      <c r="U236" s="31" t="e">
        <f t="shared" si="13"/>
        <v>#VALUE!</v>
      </c>
      <c r="V236" s="2"/>
      <c r="W236" s="2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ht="12.75" customHeight="1" x14ac:dyDescent="0.2">
      <c r="A237" s="16"/>
      <c r="B237" s="12" t="s">
        <v>254</v>
      </c>
      <c r="C237" s="13">
        <v>44471.77679236111</v>
      </c>
      <c r="D237" s="14">
        <v>-202.16</v>
      </c>
      <c r="E237" s="14">
        <v>153.71100000000001</v>
      </c>
      <c r="F237" s="14">
        <v>46.838000000000001</v>
      </c>
      <c r="G237" s="14">
        <v>-72.334999999999994</v>
      </c>
      <c r="H237" s="14">
        <v>86.965000000000003</v>
      </c>
      <c r="I237" s="14">
        <v>24.036999999999999</v>
      </c>
      <c r="J237" s="14">
        <v>0.22500000000000001</v>
      </c>
      <c r="K237" s="15">
        <f t="shared" si="11"/>
        <v>0.22141666666666651</v>
      </c>
      <c r="L237" s="14">
        <v>-142.96</v>
      </c>
      <c r="M237" s="14">
        <v>188.73400000000001</v>
      </c>
      <c r="N237" s="14">
        <v>43.508000000000003</v>
      </c>
      <c r="O237" s="14">
        <v>-84.634</v>
      </c>
      <c r="P237" s="14">
        <v>65.718999999999994</v>
      </c>
      <c r="Q237" s="14">
        <v>22.677</v>
      </c>
      <c r="R237" s="14">
        <v>0.22500000000000001</v>
      </c>
      <c r="S237" s="15">
        <f t="shared" si="12"/>
        <v>0.22014583333333315</v>
      </c>
      <c r="T237" s="14">
        <v>1.44</v>
      </c>
      <c r="U237" s="31">
        <f t="shared" si="13"/>
        <v>0.77419354838709675</v>
      </c>
      <c r="V237" s="2"/>
      <c r="W237" s="2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ht="12.75" customHeight="1" x14ac:dyDescent="0.2">
      <c r="A238" s="16"/>
      <c r="B238" s="12" t="s">
        <v>255</v>
      </c>
      <c r="C238" s="13">
        <v>44471.797625636573</v>
      </c>
      <c r="D238" s="14">
        <v>-183.292</v>
      </c>
      <c r="E238" s="14">
        <v>158.239</v>
      </c>
      <c r="F238" s="14">
        <v>44.338000000000001</v>
      </c>
      <c r="G238" s="14">
        <v>-63.747</v>
      </c>
      <c r="H238" s="14">
        <v>96.748999999999995</v>
      </c>
      <c r="I238" s="14">
        <v>21.956</v>
      </c>
      <c r="J238" s="14">
        <v>0.22500000000000001</v>
      </c>
      <c r="K238" s="15">
        <f t="shared" si="11"/>
        <v>0.22141666666666651</v>
      </c>
      <c r="L238" s="14">
        <v>-132.00800000000001</v>
      </c>
      <c r="M238" s="14">
        <v>214.36199999999999</v>
      </c>
      <c r="N238" s="14">
        <v>41.506</v>
      </c>
      <c r="O238" s="14">
        <v>-88.680999999999997</v>
      </c>
      <c r="P238" s="14">
        <v>60.194000000000003</v>
      </c>
      <c r="Q238" s="14">
        <v>20.948</v>
      </c>
      <c r="R238" s="14">
        <v>0.22500000000000001</v>
      </c>
      <c r="S238" s="15">
        <f t="shared" si="12"/>
        <v>0.22014583333333315</v>
      </c>
      <c r="T238" s="14" t="s">
        <v>26</v>
      </c>
      <c r="U238" s="31" t="e">
        <f t="shared" si="13"/>
        <v>#VALUE!</v>
      </c>
      <c r="V238" s="2"/>
      <c r="W238" s="2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ht="12.75" customHeight="1" x14ac:dyDescent="0.2">
      <c r="A239" s="16"/>
      <c r="B239" s="12" t="s">
        <v>256</v>
      </c>
      <c r="C239" s="13">
        <v>44471.818458912036</v>
      </c>
      <c r="D239" s="14">
        <v>-173.03299999999999</v>
      </c>
      <c r="E239" s="14">
        <v>159.96899999999999</v>
      </c>
      <c r="F239" s="14">
        <v>45.381999999999998</v>
      </c>
      <c r="G239" s="14">
        <v>-91.146000000000001</v>
      </c>
      <c r="H239" s="14">
        <v>66.600999999999999</v>
      </c>
      <c r="I239" s="14">
        <v>23.061</v>
      </c>
      <c r="J239" s="14">
        <v>0.22500000000000001</v>
      </c>
      <c r="K239" s="15">
        <f t="shared" si="11"/>
        <v>0.22141666666666651</v>
      </c>
      <c r="L239" s="14">
        <v>-143.41800000000001</v>
      </c>
      <c r="M239" s="14">
        <v>172.92400000000001</v>
      </c>
      <c r="N239" s="14">
        <v>41.11</v>
      </c>
      <c r="O239" s="14">
        <v>-84.968999999999994</v>
      </c>
      <c r="P239" s="14">
        <v>65.41</v>
      </c>
      <c r="Q239" s="14">
        <v>20.861000000000001</v>
      </c>
      <c r="R239" s="14">
        <v>0.22500000000000001</v>
      </c>
      <c r="S239" s="15">
        <f t="shared" si="12"/>
        <v>0.22014583333333315</v>
      </c>
      <c r="T239" s="14">
        <v>1.391</v>
      </c>
      <c r="U239" s="31">
        <f t="shared" si="13"/>
        <v>0.74784946236559136</v>
      </c>
      <c r="V239" s="2"/>
      <c r="W239" s="2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ht="12.75" customHeight="1" x14ac:dyDescent="0.2">
      <c r="A240" s="16"/>
      <c r="B240" s="12" t="s">
        <v>257</v>
      </c>
      <c r="C240" s="13">
        <v>44471.839292187498</v>
      </c>
      <c r="D240" s="14">
        <v>-166.31399999999999</v>
      </c>
      <c r="E240" s="14">
        <v>133.55600000000001</v>
      </c>
      <c r="F240" s="14">
        <v>44.573999999999998</v>
      </c>
      <c r="G240" s="14">
        <v>-63.628999999999998</v>
      </c>
      <c r="H240" s="14">
        <v>71.653000000000006</v>
      </c>
      <c r="I240" s="14">
        <v>22.521999999999998</v>
      </c>
      <c r="J240" s="14">
        <v>0.22500000000000001</v>
      </c>
      <c r="K240" s="15">
        <f t="shared" si="11"/>
        <v>0.22141666666666651</v>
      </c>
      <c r="L240" s="14">
        <v>-131.99</v>
      </c>
      <c r="M240" s="14">
        <v>181.49</v>
      </c>
      <c r="N240" s="14">
        <v>41.779000000000003</v>
      </c>
      <c r="O240" s="14">
        <v>-62.335999999999999</v>
      </c>
      <c r="P240" s="14">
        <v>76.602999999999994</v>
      </c>
      <c r="Q240" s="14">
        <v>21.687999999999999</v>
      </c>
      <c r="R240" s="14">
        <v>0.22500000000000001</v>
      </c>
      <c r="S240" s="15">
        <f t="shared" si="12"/>
        <v>0.22014583333333315</v>
      </c>
      <c r="T240" s="14" t="s">
        <v>26</v>
      </c>
      <c r="U240" s="31" t="e">
        <f t="shared" si="13"/>
        <v>#VALUE!</v>
      </c>
      <c r="V240" s="3"/>
      <c r="W240" s="3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9"/>
    </row>
    <row r="241" spans="1:42" ht="12.75" customHeight="1" x14ac:dyDescent="0.2">
      <c r="A241" s="16"/>
      <c r="B241" s="12" t="s">
        <v>258</v>
      </c>
      <c r="C241" s="13">
        <v>44471.860125462961</v>
      </c>
      <c r="D241" s="14">
        <v>-153.774</v>
      </c>
      <c r="E241" s="14">
        <v>143.50299999999999</v>
      </c>
      <c r="F241" s="14">
        <v>43.726999999999997</v>
      </c>
      <c r="G241" s="14">
        <v>-72.349999999999994</v>
      </c>
      <c r="H241" s="14">
        <v>76.411000000000001</v>
      </c>
      <c r="I241" s="14">
        <v>22.228000000000002</v>
      </c>
      <c r="J241" s="14">
        <v>0.22500000000000001</v>
      </c>
      <c r="K241" s="15">
        <f t="shared" si="11"/>
        <v>0.22141666666666651</v>
      </c>
      <c r="L241" s="14">
        <v>-188.714</v>
      </c>
      <c r="M241" s="14">
        <v>179.81</v>
      </c>
      <c r="N241" s="14">
        <v>42.252000000000002</v>
      </c>
      <c r="O241" s="14">
        <v>-79.093999999999994</v>
      </c>
      <c r="P241" s="14">
        <v>78.506</v>
      </c>
      <c r="Q241" s="14">
        <v>22.539000000000001</v>
      </c>
      <c r="R241" s="14">
        <v>0.22500000000000001</v>
      </c>
      <c r="S241" s="15">
        <f t="shared" si="12"/>
        <v>0.22014583333333315</v>
      </c>
      <c r="T241" s="14">
        <v>1.411</v>
      </c>
      <c r="U241" s="31">
        <f t="shared" si="13"/>
        <v>0.75860215053763436</v>
      </c>
      <c r="V241" s="2"/>
      <c r="W241" s="2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ht="12.75" customHeight="1" x14ac:dyDescent="0.2">
      <c r="A242" s="16"/>
      <c r="B242" s="12" t="s">
        <v>259</v>
      </c>
      <c r="C242" s="13">
        <v>44471.880958738424</v>
      </c>
      <c r="D242" s="14">
        <v>-175.12</v>
      </c>
      <c r="E242" s="14">
        <v>142.29</v>
      </c>
      <c r="F242" s="14">
        <v>42.274000000000001</v>
      </c>
      <c r="G242" s="14">
        <v>-64.638999999999996</v>
      </c>
      <c r="H242" s="14">
        <v>83.807000000000002</v>
      </c>
      <c r="I242" s="14">
        <v>21.42</v>
      </c>
      <c r="J242" s="14">
        <v>0.22500000000000001</v>
      </c>
      <c r="K242" s="15">
        <f t="shared" si="11"/>
        <v>0.22141666666666651</v>
      </c>
      <c r="L242" s="14">
        <v>-141.29499999999999</v>
      </c>
      <c r="M242" s="14">
        <v>165.61799999999999</v>
      </c>
      <c r="N242" s="14">
        <v>40.807000000000002</v>
      </c>
      <c r="O242" s="14">
        <v>-61.658000000000001</v>
      </c>
      <c r="P242" s="14">
        <v>75.558999999999997</v>
      </c>
      <c r="Q242" s="14">
        <v>20.347000000000001</v>
      </c>
      <c r="R242" s="14">
        <v>0.22500000000000001</v>
      </c>
      <c r="S242" s="15">
        <f t="shared" si="12"/>
        <v>0.22014583333333315</v>
      </c>
      <c r="T242" s="14" t="s">
        <v>26</v>
      </c>
      <c r="U242" s="31" t="e">
        <f t="shared" si="13"/>
        <v>#VALUE!</v>
      </c>
      <c r="V242" s="2"/>
      <c r="W242" s="2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ht="12.75" customHeight="1" x14ac:dyDescent="0.2">
      <c r="A243" s="16"/>
      <c r="B243" s="12" t="s">
        <v>260</v>
      </c>
      <c r="C243" s="13">
        <v>44471.901792013887</v>
      </c>
      <c r="D243" s="14">
        <v>-174.21899999999999</v>
      </c>
      <c r="E243" s="14">
        <v>148.756</v>
      </c>
      <c r="F243" s="14">
        <v>43.49</v>
      </c>
      <c r="G243" s="14">
        <v>-71.498999999999995</v>
      </c>
      <c r="H243" s="14">
        <v>75.736999999999995</v>
      </c>
      <c r="I243" s="14">
        <v>21.03</v>
      </c>
      <c r="J243" s="14">
        <v>0.22500000000000001</v>
      </c>
      <c r="K243" s="15">
        <f t="shared" si="11"/>
        <v>0.22141666666666651</v>
      </c>
      <c r="L243" s="14">
        <v>-122.389</v>
      </c>
      <c r="M243" s="14">
        <v>137.75</v>
      </c>
      <c r="N243" s="14">
        <v>39.067999999999998</v>
      </c>
      <c r="O243" s="14">
        <v>-56.417000000000002</v>
      </c>
      <c r="P243" s="14">
        <v>63.622999999999998</v>
      </c>
      <c r="Q243" s="14">
        <v>19.128</v>
      </c>
      <c r="R243" s="14">
        <v>0.22500000000000001</v>
      </c>
      <c r="S243" s="15">
        <f t="shared" si="12"/>
        <v>0.22014583333333315</v>
      </c>
      <c r="T243" s="14">
        <v>1.409</v>
      </c>
      <c r="U243" s="31">
        <f t="shared" si="13"/>
        <v>0.75752688172043003</v>
      </c>
      <c r="V243" s="2"/>
      <c r="W243" s="2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ht="12.75" customHeight="1" x14ac:dyDescent="0.2">
      <c r="A244" s="16"/>
      <c r="B244" s="12" t="s">
        <v>261</v>
      </c>
      <c r="C244" s="13">
        <v>44471.92262528935</v>
      </c>
      <c r="D244" s="14">
        <v>-173.709</v>
      </c>
      <c r="E244" s="14">
        <v>137.17500000000001</v>
      </c>
      <c r="F244" s="14">
        <v>42.01</v>
      </c>
      <c r="G244" s="14">
        <v>-56.052</v>
      </c>
      <c r="H244" s="14">
        <v>88.244</v>
      </c>
      <c r="I244" s="14">
        <v>20.797999999999998</v>
      </c>
      <c r="J244" s="14">
        <v>0.22500000000000001</v>
      </c>
      <c r="K244" s="15">
        <f t="shared" si="11"/>
        <v>0.22141666666666651</v>
      </c>
      <c r="L244" s="14">
        <v>-136.935</v>
      </c>
      <c r="M244" s="14">
        <v>166.40700000000001</v>
      </c>
      <c r="N244" s="14">
        <v>39.622</v>
      </c>
      <c r="O244" s="14">
        <v>-87.983000000000004</v>
      </c>
      <c r="P244" s="14">
        <v>56.481000000000002</v>
      </c>
      <c r="Q244" s="14">
        <v>20.356000000000002</v>
      </c>
      <c r="R244" s="14">
        <v>0.22500000000000001</v>
      </c>
      <c r="S244" s="15">
        <f t="shared" si="12"/>
        <v>0.22014583333333315</v>
      </c>
      <c r="T244" s="14" t="s">
        <v>26</v>
      </c>
      <c r="U244" s="31" t="e">
        <f t="shared" si="13"/>
        <v>#VALUE!</v>
      </c>
      <c r="V244" s="2"/>
      <c r="W244" s="2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ht="12.75" customHeight="1" x14ac:dyDescent="0.2">
      <c r="A245" s="16"/>
      <c r="B245" s="12" t="s">
        <v>262</v>
      </c>
      <c r="C245" s="13">
        <v>44471.943458564812</v>
      </c>
      <c r="D245" s="14">
        <v>-144.99100000000001</v>
      </c>
      <c r="E245" s="14">
        <v>117.47</v>
      </c>
      <c r="F245" s="14">
        <v>42.679000000000002</v>
      </c>
      <c r="G245" s="14">
        <v>-66.957999999999998</v>
      </c>
      <c r="H245" s="14">
        <v>59.137999999999998</v>
      </c>
      <c r="I245" s="14">
        <v>20.834</v>
      </c>
      <c r="J245" s="14">
        <v>0.22500000000000001</v>
      </c>
      <c r="K245" s="15">
        <f t="shared" si="11"/>
        <v>0.22141666666666651</v>
      </c>
      <c r="L245" s="14">
        <v>-121.624</v>
      </c>
      <c r="M245" s="14">
        <v>144.209</v>
      </c>
      <c r="N245" s="14">
        <v>39.973999999999997</v>
      </c>
      <c r="O245" s="14">
        <v>-65.516999999999996</v>
      </c>
      <c r="P245" s="14">
        <v>69.207999999999998</v>
      </c>
      <c r="Q245" s="14">
        <v>20.47</v>
      </c>
      <c r="R245" s="14">
        <v>0.22500000000000001</v>
      </c>
      <c r="S245" s="15">
        <f t="shared" si="12"/>
        <v>0.22014583333333315</v>
      </c>
      <c r="T245" s="14">
        <v>1.218</v>
      </c>
      <c r="U245" s="31">
        <f t="shared" si="13"/>
        <v>0.65483870967741931</v>
      </c>
      <c r="V245" s="2"/>
      <c r="W245" s="2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ht="12.75" customHeight="1" x14ac:dyDescent="0.2">
      <c r="A246" s="16"/>
      <c r="B246" s="12" t="s">
        <v>263</v>
      </c>
      <c r="C246" s="13">
        <v>44471.964291840275</v>
      </c>
      <c r="D246" s="14">
        <v>-148.37299999999999</v>
      </c>
      <c r="E246" s="14">
        <v>145.42500000000001</v>
      </c>
      <c r="F246" s="14">
        <v>41.661000000000001</v>
      </c>
      <c r="G246" s="14">
        <v>-61.933</v>
      </c>
      <c r="H246" s="14">
        <v>76.908000000000001</v>
      </c>
      <c r="I246" s="14">
        <v>20.599</v>
      </c>
      <c r="J246" s="14">
        <v>0.22500000000000001</v>
      </c>
      <c r="K246" s="15">
        <f t="shared" si="11"/>
        <v>0.22141666666666651</v>
      </c>
      <c r="L246" s="14">
        <v>-123.2</v>
      </c>
      <c r="M246" s="14">
        <v>195.56200000000001</v>
      </c>
      <c r="N246" s="14">
        <v>38.198</v>
      </c>
      <c r="O246" s="14">
        <v>-93.546999999999997</v>
      </c>
      <c r="P246" s="14">
        <v>64.006</v>
      </c>
      <c r="Q246" s="14">
        <v>19.645</v>
      </c>
      <c r="R246" s="14">
        <v>0.22500000000000001</v>
      </c>
      <c r="S246" s="15">
        <f t="shared" si="12"/>
        <v>0.22014583333333315</v>
      </c>
      <c r="T246" s="14" t="s">
        <v>26</v>
      </c>
      <c r="U246" s="31" t="e">
        <f t="shared" si="13"/>
        <v>#VALUE!</v>
      </c>
      <c r="V246" s="2"/>
      <c r="W246" s="2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ht="12.75" customHeight="1" x14ac:dyDescent="0.2">
      <c r="A247" s="16"/>
      <c r="B247" s="12" t="s">
        <v>264</v>
      </c>
      <c r="C247" s="13">
        <v>44471.985125115738</v>
      </c>
      <c r="D247" s="14">
        <v>-161.654</v>
      </c>
      <c r="E247" s="14">
        <v>126.32599999999999</v>
      </c>
      <c r="F247" s="14">
        <v>39.350999999999999</v>
      </c>
      <c r="G247" s="14">
        <v>-69.816000000000003</v>
      </c>
      <c r="H247" s="14">
        <v>69.813000000000002</v>
      </c>
      <c r="I247" s="14">
        <v>19.128</v>
      </c>
      <c r="J247" s="14">
        <v>0.22500000000000001</v>
      </c>
      <c r="K247" s="15">
        <f t="shared" si="11"/>
        <v>0.22141666666666651</v>
      </c>
      <c r="L247" s="14">
        <v>-120.69199999999999</v>
      </c>
      <c r="M247" s="14">
        <v>135.27500000000001</v>
      </c>
      <c r="N247" s="14">
        <v>35.845999999999997</v>
      </c>
      <c r="O247" s="14">
        <v>-60.87</v>
      </c>
      <c r="P247" s="14">
        <v>65.120999999999995</v>
      </c>
      <c r="Q247" s="14">
        <v>18.216999999999999</v>
      </c>
      <c r="R247" s="14">
        <v>0.22500000000000001</v>
      </c>
      <c r="S247" s="15">
        <f t="shared" si="12"/>
        <v>0.22014583333333315</v>
      </c>
      <c r="T247" s="14">
        <v>1.095</v>
      </c>
      <c r="U247" s="31">
        <f t="shared" si="13"/>
        <v>0.58870967741935476</v>
      </c>
      <c r="V247" s="2"/>
      <c r="W247" s="2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ht="12.75" customHeight="1" x14ac:dyDescent="0.2">
      <c r="A248" s="20">
        <v>6</v>
      </c>
      <c r="B248" s="21" t="s">
        <v>265</v>
      </c>
      <c r="C248" s="13">
        <v>44472.005958391201</v>
      </c>
      <c r="D248" s="22">
        <v>-129.727</v>
      </c>
      <c r="E248" s="22">
        <v>134.74700000000001</v>
      </c>
      <c r="F248" s="22">
        <v>39.582000000000001</v>
      </c>
      <c r="G248" s="22">
        <v>-54.731999999999999</v>
      </c>
      <c r="H248" s="22">
        <v>75.905000000000001</v>
      </c>
      <c r="I248" s="22">
        <v>19.963000000000001</v>
      </c>
      <c r="J248" s="22">
        <v>0.22500000000000001</v>
      </c>
      <c r="K248" s="23">
        <f>AVERAGE(J248:J295)</f>
        <v>0.22322916666666651</v>
      </c>
      <c r="L248" s="22">
        <v>-110.321</v>
      </c>
      <c r="M248" s="22">
        <v>128.28100000000001</v>
      </c>
      <c r="N248" s="22">
        <v>35.795999999999999</v>
      </c>
      <c r="O248" s="22">
        <v>-58.953000000000003</v>
      </c>
      <c r="P248" s="22">
        <v>57.021999999999998</v>
      </c>
      <c r="Q248" s="22">
        <v>18.173999999999999</v>
      </c>
      <c r="R248" s="22">
        <v>0.22500000000000001</v>
      </c>
      <c r="S248" s="23">
        <f>AVERAGE(R248:R295)</f>
        <v>0.22474999999999981</v>
      </c>
      <c r="T248" s="22" t="s">
        <v>26</v>
      </c>
      <c r="U248" s="31" t="e">
        <f t="shared" si="13"/>
        <v>#VALUE!</v>
      </c>
      <c r="V248" s="25"/>
      <c r="W248" s="25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</row>
    <row r="249" spans="1:42" ht="12.75" customHeight="1" x14ac:dyDescent="0.2">
      <c r="A249" s="16"/>
      <c r="B249" s="21" t="s">
        <v>266</v>
      </c>
      <c r="C249" s="13">
        <v>44472.026791666663</v>
      </c>
      <c r="D249" s="22">
        <v>-124.92</v>
      </c>
      <c r="E249" s="22">
        <v>126.967</v>
      </c>
      <c r="F249" s="22">
        <v>40.405999999999999</v>
      </c>
      <c r="G249" s="22">
        <v>-52.49</v>
      </c>
      <c r="H249" s="22">
        <v>69.397999999999996</v>
      </c>
      <c r="I249" s="22">
        <v>20.175999999999998</v>
      </c>
      <c r="J249" s="22">
        <v>0.22500000000000001</v>
      </c>
      <c r="K249" s="23">
        <f t="shared" ref="K249:K295" si="14">K248</f>
        <v>0.22322916666666651</v>
      </c>
      <c r="L249" s="22">
        <v>-127.199</v>
      </c>
      <c r="M249" s="22">
        <v>139.73400000000001</v>
      </c>
      <c r="N249" s="22">
        <v>35.56</v>
      </c>
      <c r="O249" s="22">
        <v>-70.944000000000003</v>
      </c>
      <c r="P249" s="22">
        <v>51.991</v>
      </c>
      <c r="Q249" s="22">
        <v>18.170000000000002</v>
      </c>
      <c r="R249" s="22">
        <v>0.22500000000000001</v>
      </c>
      <c r="S249" s="23">
        <f t="shared" ref="S249:S295" si="15">S248</f>
        <v>0.22474999999999981</v>
      </c>
      <c r="T249" s="22">
        <v>1.131</v>
      </c>
      <c r="U249" s="31">
        <f t="shared" si="13"/>
        <v>0.60806451612903223</v>
      </c>
      <c r="V249" s="25"/>
      <c r="W249" s="25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</row>
    <row r="250" spans="1:42" ht="12.75" customHeight="1" x14ac:dyDescent="0.2">
      <c r="A250" s="16"/>
      <c r="B250" s="21" t="s">
        <v>267</v>
      </c>
      <c r="C250" s="13">
        <v>44472.047624942126</v>
      </c>
      <c r="D250" s="22">
        <v>-125.98399999999999</v>
      </c>
      <c r="E250" s="22">
        <v>115.441</v>
      </c>
      <c r="F250" s="22">
        <v>36.264000000000003</v>
      </c>
      <c r="G250" s="22">
        <v>-55.776000000000003</v>
      </c>
      <c r="H250" s="22">
        <v>56.216000000000001</v>
      </c>
      <c r="I250" s="22">
        <v>18.670999999999999</v>
      </c>
      <c r="J250" s="22">
        <v>0.22500000000000001</v>
      </c>
      <c r="K250" s="23">
        <f t="shared" si="14"/>
        <v>0.22322916666666651</v>
      </c>
      <c r="L250" s="22">
        <v>-118.718</v>
      </c>
      <c r="M250" s="22">
        <v>119.595</v>
      </c>
      <c r="N250" s="22">
        <v>34.036000000000001</v>
      </c>
      <c r="O250" s="22">
        <v>-58.68</v>
      </c>
      <c r="P250" s="22">
        <v>55.707999999999998</v>
      </c>
      <c r="Q250" s="22">
        <v>18.198</v>
      </c>
      <c r="R250" s="22">
        <v>0.22500000000000001</v>
      </c>
      <c r="S250" s="23">
        <f t="shared" si="15"/>
        <v>0.22474999999999981</v>
      </c>
      <c r="T250" s="22" t="s">
        <v>26</v>
      </c>
      <c r="U250" s="31" t="e">
        <f t="shared" si="13"/>
        <v>#VALUE!</v>
      </c>
      <c r="V250" s="25"/>
      <c r="W250" s="25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</row>
    <row r="251" spans="1:42" ht="12.75" customHeight="1" x14ac:dyDescent="0.2">
      <c r="A251" s="16"/>
      <c r="B251" s="21" t="s">
        <v>268</v>
      </c>
      <c r="C251" s="13">
        <v>44472.068458217589</v>
      </c>
      <c r="D251" s="22">
        <v>-143.536</v>
      </c>
      <c r="E251" s="22">
        <v>136.136</v>
      </c>
      <c r="F251" s="22">
        <v>37.212000000000003</v>
      </c>
      <c r="G251" s="22">
        <v>-65.114999999999995</v>
      </c>
      <c r="H251" s="22">
        <v>65.713999999999999</v>
      </c>
      <c r="I251" s="22">
        <v>19.077000000000002</v>
      </c>
      <c r="J251" s="22">
        <v>0.22500000000000001</v>
      </c>
      <c r="K251" s="23">
        <f t="shared" si="14"/>
        <v>0.22322916666666651</v>
      </c>
      <c r="L251" s="22">
        <v>-123.465</v>
      </c>
      <c r="M251" s="22">
        <v>115.514</v>
      </c>
      <c r="N251" s="22">
        <v>33.722000000000001</v>
      </c>
      <c r="O251" s="22">
        <v>-56.503</v>
      </c>
      <c r="P251" s="22">
        <v>51.904000000000003</v>
      </c>
      <c r="Q251" s="22">
        <v>18.312000000000001</v>
      </c>
      <c r="R251" s="22">
        <v>0.22500000000000001</v>
      </c>
      <c r="S251" s="23">
        <f t="shared" si="15"/>
        <v>0.22474999999999981</v>
      </c>
      <c r="T251" s="22">
        <v>1.056</v>
      </c>
      <c r="U251" s="31">
        <f t="shared" si="13"/>
        <v>0.56774193548387097</v>
      </c>
      <c r="V251" s="25"/>
      <c r="W251" s="25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</row>
    <row r="252" spans="1:42" ht="12.75" customHeight="1" x14ac:dyDescent="0.2">
      <c r="A252" s="16"/>
      <c r="B252" s="21" t="s">
        <v>269</v>
      </c>
      <c r="C252" s="13">
        <v>44472.089291493059</v>
      </c>
      <c r="D252" s="22">
        <v>-123.583</v>
      </c>
      <c r="E252" s="22">
        <v>116.58799999999999</v>
      </c>
      <c r="F252" s="22">
        <v>36.249000000000002</v>
      </c>
      <c r="G252" s="22">
        <v>-52.814</v>
      </c>
      <c r="H252" s="22">
        <v>61.595999999999997</v>
      </c>
      <c r="I252" s="22">
        <v>18.986999999999998</v>
      </c>
      <c r="J252" s="22">
        <v>0.22500000000000001</v>
      </c>
      <c r="K252" s="23">
        <f t="shared" si="14"/>
        <v>0.22322916666666651</v>
      </c>
      <c r="L252" s="22">
        <v>-119.88200000000001</v>
      </c>
      <c r="M252" s="22">
        <v>128.297</v>
      </c>
      <c r="N252" s="22">
        <v>31.177</v>
      </c>
      <c r="O252" s="22">
        <v>-68.058000000000007</v>
      </c>
      <c r="P252" s="22">
        <v>57.862000000000002</v>
      </c>
      <c r="Q252" s="22">
        <v>17.509</v>
      </c>
      <c r="R252" s="22">
        <v>0.22500000000000001</v>
      </c>
      <c r="S252" s="23">
        <f t="shared" si="15"/>
        <v>0.22474999999999981</v>
      </c>
      <c r="T252" s="22" t="s">
        <v>26</v>
      </c>
      <c r="U252" s="31" t="e">
        <f t="shared" si="13"/>
        <v>#VALUE!</v>
      </c>
      <c r="V252" s="25"/>
      <c r="W252" s="25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</row>
    <row r="253" spans="1:42" ht="12.75" customHeight="1" x14ac:dyDescent="0.2">
      <c r="A253" s="16"/>
      <c r="B253" s="21" t="s">
        <v>270</v>
      </c>
      <c r="C253" s="13">
        <v>44472.110124768522</v>
      </c>
      <c r="D253" s="22">
        <v>-107.803</v>
      </c>
      <c r="E253" s="22">
        <v>118.843</v>
      </c>
      <c r="F253" s="22">
        <v>33.195999999999998</v>
      </c>
      <c r="G253" s="22">
        <v>-70.513999999999996</v>
      </c>
      <c r="H253" s="22">
        <v>53.893000000000001</v>
      </c>
      <c r="I253" s="22">
        <v>17.294</v>
      </c>
      <c r="J253" s="22">
        <v>0.22500000000000001</v>
      </c>
      <c r="K253" s="23">
        <f t="shared" si="14"/>
        <v>0.22322916666666651</v>
      </c>
      <c r="L253" s="22">
        <v>-98.12</v>
      </c>
      <c r="M253" s="22">
        <v>99.332999999999998</v>
      </c>
      <c r="N253" s="22">
        <v>29.812999999999999</v>
      </c>
      <c r="O253" s="22">
        <v>-44.530999999999999</v>
      </c>
      <c r="P253" s="22">
        <v>65</v>
      </c>
      <c r="Q253" s="22">
        <v>17.024000000000001</v>
      </c>
      <c r="R253" s="22">
        <v>0.22500000000000001</v>
      </c>
      <c r="S253" s="23">
        <f t="shared" si="15"/>
        <v>0.22474999999999981</v>
      </c>
      <c r="T253" s="22">
        <v>2.4460000000000002</v>
      </c>
      <c r="U253" s="31">
        <f t="shared" si="13"/>
        <v>1.3150537634408603</v>
      </c>
      <c r="V253" s="25"/>
      <c r="W253" s="25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</row>
    <row r="254" spans="1:42" ht="12.75" customHeight="1" x14ac:dyDescent="0.2">
      <c r="A254" s="16"/>
      <c r="B254" s="21" t="s">
        <v>271</v>
      </c>
      <c r="C254" s="13">
        <v>44472.130958043985</v>
      </c>
      <c r="D254" s="22">
        <v>-134.494</v>
      </c>
      <c r="E254" s="22">
        <v>111.54600000000001</v>
      </c>
      <c r="F254" s="22">
        <v>34.326999999999998</v>
      </c>
      <c r="G254" s="22">
        <v>-47.372</v>
      </c>
      <c r="H254" s="22">
        <v>74.953999999999994</v>
      </c>
      <c r="I254" s="22">
        <v>18.167999999999999</v>
      </c>
      <c r="J254" s="22">
        <v>0.22500000000000001</v>
      </c>
      <c r="K254" s="23">
        <f t="shared" si="14"/>
        <v>0.22322916666666651</v>
      </c>
      <c r="L254" s="22">
        <v>-127.099</v>
      </c>
      <c r="M254" s="22">
        <v>131.27000000000001</v>
      </c>
      <c r="N254" s="22">
        <v>30.754000000000001</v>
      </c>
      <c r="O254" s="22">
        <v>-62.558</v>
      </c>
      <c r="P254" s="22">
        <v>64.765000000000001</v>
      </c>
      <c r="Q254" s="22">
        <v>17.655999999999999</v>
      </c>
      <c r="R254" s="22">
        <v>0.22500000000000001</v>
      </c>
      <c r="S254" s="23">
        <f t="shared" si="15"/>
        <v>0.22474999999999981</v>
      </c>
      <c r="T254" s="22" t="s">
        <v>26</v>
      </c>
      <c r="U254" s="31" t="e">
        <f t="shared" si="13"/>
        <v>#VALUE!</v>
      </c>
      <c r="V254" s="25"/>
      <c r="W254" s="25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</row>
    <row r="255" spans="1:42" ht="12.75" customHeight="1" x14ac:dyDescent="0.2">
      <c r="A255" s="16"/>
      <c r="B255" s="21" t="s">
        <v>272</v>
      </c>
      <c r="C255" s="13">
        <v>44472.151791319448</v>
      </c>
      <c r="D255" s="22">
        <v>-124.72199999999999</v>
      </c>
      <c r="E255" s="22">
        <v>114.807</v>
      </c>
      <c r="F255" s="22">
        <v>33.991999999999997</v>
      </c>
      <c r="G255" s="22">
        <v>-67.414000000000001</v>
      </c>
      <c r="H255" s="22">
        <v>57.154000000000003</v>
      </c>
      <c r="I255" s="22">
        <v>18.448</v>
      </c>
      <c r="J255" s="22">
        <v>0.22500000000000001</v>
      </c>
      <c r="K255" s="23">
        <f t="shared" si="14"/>
        <v>0.22322916666666651</v>
      </c>
      <c r="L255" s="22">
        <v>-112.93</v>
      </c>
      <c r="M255" s="22">
        <v>111.095</v>
      </c>
      <c r="N255" s="22">
        <v>30.521999999999998</v>
      </c>
      <c r="O255" s="22">
        <v>-59.33</v>
      </c>
      <c r="P255" s="22">
        <v>57.686</v>
      </c>
      <c r="Q255" s="22">
        <v>17.943999999999999</v>
      </c>
      <c r="R255" s="22">
        <v>0.22500000000000001</v>
      </c>
      <c r="S255" s="23">
        <f t="shared" si="15"/>
        <v>0.22474999999999981</v>
      </c>
      <c r="T255" s="22">
        <v>2.14</v>
      </c>
      <c r="U255" s="31">
        <f t="shared" si="13"/>
        <v>1.1505376344086022</v>
      </c>
      <c r="V255" s="25"/>
      <c r="W255" s="25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</row>
    <row r="256" spans="1:42" ht="12.75" customHeight="1" x14ac:dyDescent="0.2">
      <c r="A256" s="16"/>
      <c r="B256" s="21" t="s">
        <v>273</v>
      </c>
      <c r="C256" s="13">
        <v>44472.17262459491</v>
      </c>
      <c r="D256" s="22">
        <v>-123.033</v>
      </c>
      <c r="E256" s="22">
        <v>148.88900000000001</v>
      </c>
      <c r="F256" s="22">
        <v>36.463999999999999</v>
      </c>
      <c r="G256" s="22">
        <v>-62.963999999999999</v>
      </c>
      <c r="H256" s="22">
        <v>56.631999999999998</v>
      </c>
      <c r="I256" s="22">
        <v>18.989000000000001</v>
      </c>
      <c r="J256" s="22">
        <v>0.22500000000000001</v>
      </c>
      <c r="K256" s="23">
        <f t="shared" si="14"/>
        <v>0.22322916666666651</v>
      </c>
      <c r="L256" s="22">
        <v>-113.828</v>
      </c>
      <c r="M256" s="22">
        <v>116.82</v>
      </c>
      <c r="N256" s="22">
        <v>31.844999999999999</v>
      </c>
      <c r="O256" s="22">
        <v>-54.591999999999999</v>
      </c>
      <c r="P256" s="22">
        <v>50.787999999999997</v>
      </c>
      <c r="Q256" s="22">
        <v>17.899000000000001</v>
      </c>
      <c r="R256" s="22">
        <v>0.22500000000000001</v>
      </c>
      <c r="S256" s="23">
        <f t="shared" si="15"/>
        <v>0.22474999999999981</v>
      </c>
      <c r="T256" s="22" t="s">
        <v>26</v>
      </c>
      <c r="U256" s="31" t="e">
        <f t="shared" si="13"/>
        <v>#VALUE!</v>
      </c>
      <c r="V256" s="25"/>
      <c r="W256" s="25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</row>
    <row r="257" spans="1:42" ht="12.75" customHeight="1" x14ac:dyDescent="0.2">
      <c r="A257" s="16"/>
      <c r="B257" s="21" t="s">
        <v>274</v>
      </c>
      <c r="C257" s="13">
        <v>44472.193457870373</v>
      </c>
      <c r="D257" s="22">
        <v>-120.247</v>
      </c>
      <c r="E257" s="22">
        <v>140.50399999999999</v>
      </c>
      <c r="F257" s="22">
        <v>34.045000000000002</v>
      </c>
      <c r="G257" s="22">
        <v>-72.364999999999995</v>
      </c>
      <c r="H257" s="22">
        <v>71.558000000000007</v>
      </c>
      <c r="I257" s="22">
        <v>18.154</v>
      </c>
      <c r="J257" s="22">
        <v>0.22500000000000001</v>
      </c>
      <c r="K257" s="23">
        <f t="shared" si="14"/>
        <v>0.22322916666666651</v>
      </c>
      <c r="L257" s="22">
        <v>-97.132999999999996</v>
      </c>
      <c r="M257" s="22">
        <v>117.52200000000001</v>
      </c>
      <c r="N257" s="22">
        <v>30.186</v>
      </c>
      <c r="O257" s="22">
        <v>-64.403000000000006</v>
      </c>
      <c r="P257" s="22">
        <v>54.709000000000003</v>
      </c>
      <c r="Q257" s="22">
        <v>17.036000000000001</v>
      </c>
      <c r="R257" s="22">
        <v>0.22500000000000001</v>
      </c>
      <c r="S257" s="23">
        <f t="shared" si="15"/>
        <v>0.22474999999999981</v>
      </c>
      <c r="T257" s="22">
        <v>0.97799999999999998</v>
      </c>
      <c r="U257" s="31">
        <f t="shared" si="13"/>
        <v>0.52580645161290318</v>
      </c>
      <c r="V257" s="25"/>
      <c r="W257" s="25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</row>
    <row r="258" spans="1:42" ht="12.75" customHeight="1" x14ac:dyDescent="0.2">
      <c r="A258" s="16"/>
      <c r="B258" s="21" t="s">
        <v>275</v>
      </c>
      <c r="C258" s="13">
        <v>44472.214291145836</v>
      </c>
      <c r="D258" s="22">
        <v>-116.401</v>
      </c>
      <c r="E258" s="22">
        <v>124.785</v>
      </c>
      <c r="F258" s="22">
        <v>31.661999999999999</v>
      </c>
      <c r="G258" s="22">
        <v>-58.466000000000001</v>
      </c>
      <c r="H258" s="22">
        <v>63.750999999999998</v>
      </c>
      <c r="I258" s="22">
        <v>16.995999999999999</v>
      </c>
      <c r="J258" s="22">
        <v>0.22500000000000001</v>
      </c>
      <c r="K258" s="23">
        <f t="shared" si="14"/>
        <v>0.22322916666666651</v>
      </c>
      <c r="L258" s="22">
        <v>-101.029</v>
      </c>
      <c r="M258" s="22">
        <v>112.944</v>
      </c>
      <c r="N258" s="22">
        <v>29.855</v>
      </c>
      <c r="O258" s="22">
        <v>-51.515999999999998</v>
      </c>
      <c r="P258" s="22">
        <v>61.353999999999999</v>
      </c>
      <c r="Q258" s="22">
        <v>17.66</v>
      </c>
      <c r="R258" s="22">
        <v>0.22500000000000001</v>
      </c>
      <c r="S258" s="23">
        <f t="shared" si="15"/>
        <v>0.22474999999999981</v>
      </c>
      <c r="T258" s="22" t="s">
        <v>26</v>
      </c>
      <c r="U258" s="31" t="e">
        <f t="shared" si="13"/>
        <v>#VALUE!</v>
      </c>
      <c r="V258" s="25"/>
      <c r="W258" s="25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</row>
    <row r="259" spans="1:42" ht="12.75" customHeight="1" x14ac:dyDescent="0.2">
      <c r="A259" s="16"/>
      <c r="B259" s="21" t="s">
        <v>276</v>
      </c>
      <c r="C259" s="13">
        <v>44472.235124421299</v>
      </c>
      <c r="D259" s="22">
        <v>-120.176</v>
      </c>
      <c r="E259" s="22">
        <v>124.804</v>
      </c>
      <c r="F259" s="22">
        <v>33.005000000000003</v>
      </c>
      <c r="G259" s="22">
        <v>-55.896999999999998</v>
      </c>
      <c r="H259" s="22">
        <v>63.582999999999998</v>
      </c>
      <c r="I259" s="22">
        <v>17.638000000000002</v>
      </c>
      <c r="J259" s="22">
        <v>0.22500000000000001</v>
      </c>
      <c r="K259" s="23">
        <f t="shared" si="14"/>
        <v>0.22322916666666651</v>
      </c>
      <c r="L259" s="22">
        <v>-99.703000000000003</v>
      </c>
      <c r="M259" s="22">
        <v>125.92700000000001</v>
      </c>
      <c r="N259" s="22">
        <v>31.986999999999998</v>
      </c>
      <c r="O259" s="22">
        <v>-71.850999999999999</v>
      </c>
      <c r="P259" s="22">
        <v>58.01</v>
      </c>
      <c r="Q259" s="22">
        <v>18.16</v>
      </c>
      <c r="R259" s="22">
        <v>0.22500000000000001</v>
      </c>
      <c r="S259" s="23">
        <f t="shared" si="15"/>
        <v>0.22474999999999981</v>
      </c>
      <c r="T259" s="22">
        <v>0.94299999999999995</v>
      </c>
      <c r="U259" s="31">
        <f t="shared" si="13"/>
        <v>0.50698924731182793</v>
      </c>
      <c r="V259" s="25"/>
      <c r="W259" s="25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</row>
    <row r="260" spans="1:42" ht="12.75" customHeight="1" x14ac:dyDescent="0.2">
      <c r="A260" s="16"/>
      <c r="B260" s="21" t="s">
        <v>277</v>
      </c>
      <c r="C260" s="13">
        <v>44472.255957696761</v>
      </c>
      <c r="D260" s="22">
        <v>-130.35900000000001</v>
      </c>
      <c r="E260" s="22">
        <v>121.54900000000001</v>
      </c>
      <c r="F260" s="22">
        <v>34.700000000000003</v>
      </c>
      <c r="G260" s="22">
        <v>-60.188000000000002</v>
      </c>
      <c r="H260" s="22">
        <v>57.831000000000003</v>
      </c>
      <c r="I260" s="22">
        <v>18.751000000000001</v>
      </c>
      <c r="J260" s="22">
        <v>0.22500000000000001</v>
      </c>
      <c r="K260" s="23">
        <f t="shared" si="14"/>
        <v>0.22322916666666651</v>
      </c>
      <c r="L260" s="22">
        <v>-115.574</v>
      </c>
      <c r="M260" s="22">
        <v>105.339</v>
      </c>
      <c r="N260" s="22">
        <v>31.396000000000001</v>
      </c>
      <c r="O260" s="22">
        <v>-71.766999999999996</v>
      </c>
      <c r="P260" s="22">
        <v>58.636000000000003</v>
      </c>
      <c r="Q260" s="22">
        <v>18.428999999999998</v>
      </c>
      <c r="R260" s="22">
        <v>0.22500000000000001</v>
      </c>
      <c r="S260" s="23">
        <f t="shared" si="15"/>
        <v>0.22474999999999981</v>
      </c>
      <c r="T260" s="22" t="s">
        <v>26</v>
      </c>
      <c r="U260" s="31" t="e">
        <f t="shared" si="13"/>
        <v>#VALUE!</v>
      </c>
      <c r="V260" s="25"/>
      <c r="W260" s="25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</row>
    <row r="261" spans="1:42" ht="12.75" customHeight="1" x14ac:dyDescent="0.2">
      <c r="A261" s="16"/>
      <c r="B261" s="21" t="s">
        <v>278</v>
      </c>
      <c r="C261" s="13">
        <v>44472.276790972224</v>
      </c>
      <c r="D261" s="22">
        <v>-127.02</v>
      </c>
      <c r="E261" s="22">
        <v>121.274</v>
      </c>
      <c r="F261" s="22">
        <v>32.953000000000003</v>
      </c>
      <c r="G261" s="22">
        <v>-50.301000000000002</v>
      </c>
      <c r="H261" s="22">
        <v>60.475000000000001</v>
      </c>
      <c r="I261" s="22">
        <v>18.030999999999999</v>
      </c>
      <c r="J261" s="22">
        <v>0.22500000000000001</v>
      </c>
      <c r="K261" s="23">
        <f t="shared" si="14"/>
        <v>0.22322916666666651</v>
      </c>
      <c r="L261" s="22">
        <v>-116.4</v>
      </c>
      <c r="M261" s="22">
        <v>118.49299999999999</v>
      </c>
      <c r="N261" s="22">
        <v>32.023000000000003</v>
      </c>
      <c r="O261" s="22">
        <v>-69.075999999999993</v>
      </c>
      <c r="P261" s="22">
        <v>57.896999999999998</v>
      </c>
      <c r="Q261" s="22">
        <v>19.236999999999998</v>
      </c>
      <c r="R261" s="22">
        <v>0.22500000000000001</v>
      </c>
      <c r="S261" s="23">
        <f t="shared" si="15"/>
        <v>0.22474999999999981</v>
      </c>
      <c r="T261" s="22">
        <v>1.0209999999999999</v>
      </c>
      <c r="U261" s="31">
        <f t="shared" si="13"/>
        <v>0.54892473118279561</v>
      </c>
      <c r="V261" s="25"/>
      <c r="W261" s="25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</row>
    <row r="262" spans="1:42" ht="12.75" customHeight="1" x14ac:dyDescent="0.2">
      <c r="A262" s="16"/>
      <c r="B262" s="21" t="s">
        <v>279</v>
      </c>
      <c r="C262" s="13">
        <v>44472.297624247687</v>
      </c>
      <c r="D262" s="22">
        <v>-133.43600000000001</v>
      </c>
      <c r="E262" s="22">
        <v>125.593</v>
      </c>
      <c r="F262" s="22">
        <v>36.548000000000002</v>
      </c>
      <c r="G262" s="22">
        <v>-64.94</v>
      </c>
      <c r="H262" s="22">
        <v>64.64</v>
      </c>
      <c r="I262" s="22">
        <v>19.571999999999999</v>
      </c>
      <c r="J262" s="22">
        <v>0.22500000000000001</v>
      </c>
      <c r="K262" s="23">
        <f t="shared" si="14"/>
        <v>0.22322916666666651</v>
      </c>
      <c r="L262" s="22">
        <v>-112.078</v>
      </c>
      <c r="M262" s="22">
        <v>115.825</v>
      </c>
      <c r="N262" s="22">
        <v>32.747999999999998</v>
      </c>
      <c r="O262" s="22">
        <v>-55.015999999999998</v>
      </c>
      <c r="P262" s="22">
        <v>70.569000000000003</v>
      </c>
      <c r="Q262" s="22">
        <v>18.584</v>
      </c>
      <c r="R262" s="22">
        <v>0.22500000000000001</v>
      </c>
      <c r="S262" s="23">
        <f t="shared" si="15"/>
        <v>0.22474999999999981</v>
      </c>
      <c r="T262" s="22" t="s">
        <v>26</v>
      </c>
      <c r="U262" s="31" t="e">
        <f t="shared" si="13"/>
        <v>#VALUE!</v>
      </c>
      <c r="V262" s="25"/>
      <c r="W262" s="25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</row>
    <row r="263" spans="1:42" ht="12.75" customHeight="1" x14ac:dyDescent="0.2">
      <c r="A263" s="16"/>
      <c r="B263" s="21" t="s">
        <v>280</v>
      </c>
      <c r="C263" s="13">
        <v>44472.31845752315</v>
      </c>
      <c r="D263" s="22">
        <v>-130.346</v>
      </c>
      <c r="E263" s="22">
        <v>111.97</v>
      </c>
      <c r="F263" s="22">
        <v>32.848999999999997</v>
      </c>
      <c r="G263" s="22">
        <v>-60.875999999999998</v>
      </c>
      <c r="H263" s="22">
        <v>55.936999999999998</v>
      </c>
      <c r="I263" s="22">
        <v>17.751000000000001</v>
      </c>
      <c r="J263" s="22">
        <v>0.22500000000000001</v>
      </c>
      <c r="K263" s="23">
        <f t="shared" si="14"/>
        <v>0.22322916666666651</v>
      </c>
      <c r="L263" s="22">
        <v>-115.73</v>
      </c>
      <c r="M263" s="22">
        <v>109.252</v>
      </c>
      <c r="N263" s="22">
        <v>33.732999999999997</v>
      </c>
      <c r="O263" s="22">
        <v>-55.938000000000002</v>
      </c>
      <c r="P263" s="22">
        <v>63.796999999999997</v>
      </c>
      <c r="Q263" s="22">
        <v>19.879000000000001</v>
      </c>
      <c r="R263" s="22">
        <v>0.22500000000000001</v>
      </c>
      <c r="S263" s="23">
        <f t="shared" si="15"/>
        <v>0.22474999999999981</v>
      </c>
      <c r="T263" s="22">
        <v>1.0109999999999999</v>
      </c>
      <c r="U263" s="31">
        <f t="shared" si="13"/>
        <v>0.54354838709677411</v>
      </c>
      <c r="V263" s="25"/>
      <c r="W263" s="25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</row>
    <row r="264" spans="1:42" ht="12.75" customHeight="1" x14ac:dyDescent="0.2">
      <c r="A264" s="16"/>
      <c r="B264" s="21" t="s">
        <v>281</v>
      </c>
      <c r="C264" s="13">
        <v>44472.339290798613</v>
      </c>
      <c r="D264" s="22">
        <v>-146.18299999999999</v>
      </c>
      <c r="E264" s="22">
        <v>112.238</v>
      </c>
      <c r="F264" s="22">
        <v>37.585999999999999</v>
      </c>
      <c r="G264" s="22">
        <v>-66.397999999999996</v>
      </c>
      <c r="H264" s="22">
        <v>55.232999999999997</v>
      </c>
      <c r="I264" s="22">
        <v>20.716999999999999</v>
      </c>
      <c r="J264" s="22">
        <v>0.21299999999999999</v>
      </c>
      <c r="K264" s="23">
        <f t="shared" si="14"/>
        <v>0.22322916666666651</v>
      </c>
      <c r="L264" s="22">
        <v>-123.116</v>
      </c>
      <c r="M264" s="22">
        <v>140.958</v>
      </c>
      <c r="N264" s="22">
        <v>35.417000000000002</v>
      </c>
      <c r="O264" s="22">
        <v>-76.731999999999999</v>
      </c>
      <c r="P264" s="22">
        <v>60.597999999999999</v>
      </c>
      <c r="Q264" s="22">
        <v>20.84</v>
      </c>
      <c r="R264" s="22">
        <v>0.22500000000000001</v>
      </c>
      <c r="S264" s="23">
        <f t="shared" si="15"/>
        <v>0.22474999999999981</v>
      </c>
      <c r="T264" s="22" t="s">
        <v>26</v>
      </c>
      <c r="U264" s="31" t="e">
        <f t="shared" si="13"/>
        <v>#VALUE!</v>
      </c>
      <c r="V264" s="25"/>
      <c r="W264" s="25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</row>
    <row r="265" spans="1:42" ht="12.75" customHeight="1" x14ac:dyDescent="0.2">
      <c r="A265" s="16"/>
      <c r="B265" s="21" t="s">
        <v>282</v>
      </c>
      <c r="C265" s="13">
        <v>44472.360124074075</v>
      </c>
      <c r="D265" s="22">
        <v>-144.69900000000001</v>
      </c>
      <c r="E265" s="22">
        <v>125.033</v>
      </c>
      <c r="F265" s="22">
        <v>34.311</v>
      </c>
      <c r="G265" s="22">
        <v>-62.026000000000003</v>
      </c>
      <c r="H265" s="22">
        <v>59.13</v>
      </c>
      <c r="I265" s="22">
        <v>18.858000000000001</v>
      </c>
      <c r="J265" s="22">
        <v>0.22500000000000001</v>
      </c>
      <c r="K265" s="23">
        <f t="shared" si="14"/>
        <v>0.22322916666666651</v>
      </c>
      <c r="L265" s="22">
        <v>-119.95099999999999</v>
      </c>
      <c r="M265" s="22">
        <v>139.98099999999999</v>
      </c>
      <c r="N265" s="22">
        <v>36.926000000000002</v>
      </c>
      <c r="O265" s="22">
        <v>-75.625</v>
      </c>
      <c r="P265" s="22">
        <v>79.117999999999995</v>
      </c>
      <c r="Q265" s="22">
        <v>22.155999999999999</v>
      </c>
      <c r="R265" s="22">
        <v>0.22500000000000001</v>
      </c>
      <c r="S265" s="23">
        <f t="shared" si="15"/>
        <v>0.22474999999999981</v>
      </c>
      <c r="T265" s="22">
        <v>1.014</v>
      </c>
      <c r="U265" s="31">
        <f t="shared" ref="U265:U328" si="16">T265/1.86</f>
        <v>0.54516129032258065</v>
      </c>
      <c r="V265" s="25"/>
      <c r="W265" s="25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</row>
    <row r="266" spans="1:42" ht="12.75" customHeight="1" x14ac:dyDescent="0.2">
      <c r="A266" s="16"/>
      <c r="B266" s="21" t="s">
        <v>283</v>
      </c>
      <c r="C266" s="13">
        <v>44472.380957349538</v>
      </c>
      <c r="D266" s="22">
        <v>-149.65299999999999</v>
      </c>
      <c r="E266" s="22">
        <v>107.583</v>
      </c>
      <c r="F266" s="22">
        <v>35.012999999999998</v>
      </c>
      <c r="G266" s="22">
        <v>-58.786999999999999</v>
      </c>
      <c r="H266" s="22">
        <v>70.515000000000001</v>
      </c>
      <c r="I266" s="22">
        <v>19.245000000000001</v>
      </c>
      <c r="J266" s="22">
        <v>0.22500000000000001</v>
      </c>
      <c r="K266" s="23">
        <f t="shared" si="14"/>
        <v>0.22322916666666651</v>
      </c>
      <c r="L266" s="22">
        <v>-116.679</v>
      </c>
      <c r="M266" s="22">
        <v>144.19900000000001</v>
      </c>
      <c r="N266" s="22">
        <v>36.756</v>
      </c>
      <c r="O266" s="22">
        <v>-85.712000000000003</v>
      </c>
      <c r="P266" s="22">
        <v>65.304000000000002</v>
      </c>
      <c r="Q266" s="22">
        <v>21.791</v>
      </c>
      <c r="R266" s="22">
        <v>0.22500000000000001</v>
      </c>
      <c r="S266" s="23">
        <f t="shared" si="15"/>
        <v>0.22474999999999981</v>
      </c>
      <c r="T266" s="22" t="s">
        <v>26</v>
      </c>
      <c r="U266" s="31" t="e">
        <f t="shared" si="16"/>
        <v>#VALUE!</v>
      </c>
      <c r="V266" s="25"/>
      <c r="W266" s="25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</row>
    <row r="267" spans="1:42" ht="12.75" customHeight="1" x14ac:dyDescent="0.2">
      <c r="A267" s="16"/>
      <c r="B267" s="21" t="s">
        <v>284</v>
      </c>
      <c r="C267" s="13">
        <v>44472.401790625001</v>
      </c>
      <c r="D267" s="22">
        <v>-125.27800000000001</v>
      </c>
      <c r="E267" s="22">
        <v>110.836</v>
      </c>
      <c r="F267" s="22">
        <v>33.509</v>
      </c>
      <c r="G267" s="22">
        <v>-56.67</v>
      </c>
      <c r="H267" s="22">
        <v>59.067</v>
      </c>
      <c r="I267" s="22">
        <v>18.75</v>
      </c>
      <c r="J267" s="22">
        <v>0.21299999999999999</v>
      </c>
      <c r="K267" s="23">
        <f t="shared" si="14"/>
        <v>0.22322916666666651</v>
      </c>
      <c r="L267" s="22">
        <v>-113.64</v>
      </c>
      <c r="M267" s="22">
        <v>127.901</v>
      </c>
      <c r="N267" s="22">
        <v>34.158999999999999</v>
      </c>
      <c r="O267" s="22">
        <v>-71.596999999999994</v>
      </c>
      <c r="P267" s="22">
        <v>62.658999999999999</v>
      </c>
      <c r="Q267" s="22">
        <v>19.861000000000001</v>
      </c>
      <c r="R267" s="22">
        <v>0.21299999999999999</v>
      </c>
      <c r="S267" s="23">
        <f t="shared" si="15"/>
        <v>0.22474999999999981</v>
      </c>
      <c r="T267" s="22">
        <v>0.94599999999999995</v>
      </c>
      <c r="U267" s="31">
        <f t="shared" si="16"/>
        <v>0.50860215053763436</v>
      </c>
      <c r="V267" s="25"/>
      <c r="W267" s="25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</row>
    <row r="268" spans="1:42" ht="12.75" customHeight="1" x14ac:dyDescent="0.2">
      <c r="A268" s="16"/>
      <c r="B268" s="21" t="s">
        <v>285</v>
      </c>
      <c r="C268" s="13">
        <v>44472.422623900464</v>
      </c>
      <c r="D268" s="22">
        <v>-154.143</v>
      </c>
      <c r="E268" s="22">
        <v>115.944</v>
      </c>
      <c r="F268" s="22">
        <v>34.164000000000001</v>
      </c>
      <c r="G268" s="22">
        <v>-59.936</v>
      </c>
      <c r="H268" s="22">
        <v>73.149000000000001</v>
      </c>
      <c r="I268" s="22">
        <v>18.773</v>
      </c>
      <c r="J268" s="22">
        <v>0.22500000000000001</v>
      </c>
      <c r="K268" s="23">
        <f t="shared" si="14"/>
        <v>0.22322916666666651</v>
      </c>
      <c r="L268" s="22">
        <v>-110.571</v>
      </c>
      <c r="M268" s="22">
        <v>132.45599999999999</v>
      </c>
      <c r="N268" s="22">
        <v>35.677</v>
      </c>
      <c r="O268" s="22">
        <v>-58.807000000000002</v>
      </c>
      <c r="P268" s="22">
        <v>80.08</v>
      </c>
      <c r="Q268" s="22">
        <v>21.015000000000001</v>
      </c>
      <c r="R268" s="22">
        <v>0.22500000000000001</v>
      </c>
      <c r="S268" s="23">
        <f t="shared" si="15"/>
        <v>0.22474999999999981</v>
      </c>
      <c r="T268" s="22" t="s">
        <v>26</v>
      </c>
      <c r="U268" s="31" t="e">
        <f t="shared" si="16"/>
        <v>#VALUE!</v>
      </c>
      <c r="V268" s="25"/>
      <c r="W268" s="25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</row>
    <row r="269" spans="1:42" ht="12.75" customHeight="1" x14ac:dyDescent="0.2">
      <c r="A269" s="16"/>
      <c r="B269" s="21" t="s">
        <v>286</v>
      </c>
      <c r="C269" s="13">
        <v>44472.443457175927</v>
      </c>
      <c r="D269" s="22">
        <v>-144.27699999999999</v>
      </c>
      <c r="E269" s="22">
        <v>114.11</v>
      </c>
      <c r="F269" s="22">
        <v>32.35</v>
      </c>
      <c r="G269" s="22">
        <v>-69.343000000000004</v>
      </c>
      <c r="H269" s="22">
        <v>57.152999999999999</v>
      </c>
      <c r="I269" s="22">
        <v>17.63</v>
      </c>
      <c r="J269" s="22">
        <v>0.22500000000000001</v>
      </c>
      <c r="K269" s="23">
        <f t="shared" si="14"/>
        <v>0.22322916666666651</v>
      </c>
      <c r="L269" s="22">
        <v>-110.242</v>
      </c>
      <c r="M269" s="22">
        <v>133.364</v>
      </c>
      <c r="N269" s="22">
        <v>34.322000000000003</v>
      </c>
      <c r="O269" s="22">
        <v>-60.524000000000001</v>
      </c>
      <c r="P269" s="22">
        <v>69.518000000000001</v>
      </c>
      <c r="Q269" s="22">
        <v>19.477</v>
      </c>
      <c r="R269" s="22">
        <v>0.22500000000000001</v>
      </c>
      <c r="S269" s="23">
        <f t="shared" si="15"/>
        <v>0.22474999999999981</v>
      </c>
      <c r="T269" s="22">
        <v>1.897</v>
      </c>
      <c r="U269" s="31">
        <f t="shared" si="16"/>
        <v>1.0198924731182795</v>
      </c>
      <c r="V269" s="25"/>
      <c r="W269" s="25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</row>
    <row r="270" spans="1:42" ht="12.75" customHeight="1" x14ac:dyDescent="0.2">
      <c r="A270" s="16"/>
      <c r="B270" s="21" t="s">
        <v>287</v>
      </c>
      <c r="C270" s="13">
        <v>44472.464290451389</v>
      </c>
      <c r="D270" s="22">
        <v>-121.881</v>
      </c>
      <c r="E270" s="22">
        <v>100.76300000000001</v>
      </c>
      <c r="F270" s="22">
        <v>33.598999999999997</v>
      </c>
      <c r="G270" s="22">
        <v>-61.94</v>
      </c>
      <c r="H270" s="22">
        <v>50.823</v>
      </c>
      <c r="I270" s="22">
        <v>18.582000000000001</v>
      </c>
      <c r="J270" s="22">
        <v>0.22500000000000001</v>
      </c>
      <c r="K270" s="23">
        <f t="shared" si="14"/>
        <v>0.22322916666666651</v>
      </c>
      <c r="L270" s="22">
        <v>-114.218</v>
      </c>
      <c r="M270" s="22">
        <v>119.624</v>
      </c>
      <c r="N270" s="22">
        <v>34.662999999999997</v>
      </c>
      <c r="O270" s="22">
        <v>-64.78</v>
      </c>
      <c r="P270" s="22">
        <v>66.927000000000007</v>
      </c>
      <c r="Q270" s="22">
        <v>19.751000000000001</v>
      </c>
      <c r="R270" s="22">
        <v>0.22500000000000001</v>
      </c>
      <c r="S270" s="23">
        <f t="shared" si="15"/>
        <v>0.22474999999999981</v>
      </c>
      <c r="T270" s="22" t="s">
        <v>26</v>
      </c>
      <c r="U270" s="31" t="e">
        <f t="shared" si="16"/>
        <v>#VALUE!</v>
      </c>
      <c r="V270" s="25"/>
      <c r="W270" s="25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</row>
    <row r="271" spans="1:42" ht="12.75" customHeight="1" x14ac:dyDescent="0.2">
      <c r="A271" s="16"/>
      <c r="B271" s="21" t="s">
        <v>288</v>
      </c>
      <c r="C271" s="13">
        <v>44472.485123726852</v>
      </c>
      <c r="D271" s="22">
        <v>-116.455</v>
      </c>
      <c r="E271" s="22">
        <v>109.676</v>
      </c>
      <c r="F271" s="22">
        <v>31.207999999999998</v>
      </c>
      <c r="G271" s="22">
        <v>-45.329000000000001</v>
      </c>
      <c r="H271" s="22">
        <v>60.401000000000003</v>
      </c>
      <c r="I271" s="22">
        <v>17.38</v>
      </c>
      <c r="J271" s="22">
        <v>0.21299999999999999</v>
      </c>
      <c r="K271" s="23">
        <f t="shared" si="14"/>
        <v>0.22322916666666651</v>
      </c>
      <c r="L271" s="22">
        <v>-119.203</v>
      </c>
      <c r="M271" s="22">
        <v>132.12899999999999</v>
      </c>
      <c r="N271" s="22">
        <v>31.962</v>
      </c>
      <c r="O271" s="22">
        <v>-68.498999999999995</v>
      </c>
      <c r="P271" s="22">
        <v>64.284999999999997</v>
      </c>
      <c r="Q271" s="22">
        <v>18.236000000000001</v>
      </c>
      <c r="R271" s="22">
        <v>0.22500000000000001</v>
      </c>
      <c r="S271" s="23">
        <f t="shared" si="15"/>
        <v>0.22474999999999981</v>
      </c>
      <c r="T271" s="22">
        <v>1.0169999999999999</v>
      </c>
      <c r="U271" s="31">
        <f t="shared" si="16"/>
        <v>0.54677419354838697</v>
      </c>
      <c r="V271" s="25"/>
      <c r="W271" s="25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</row>
    <row r="272" spans="1:42" ht="12.75" customHeight="1" x14ac:dyDescent="0.2">
      <c r="A272" s="16"/>
      <c r="B272" s="21" t="s">
        <v>289</v>
      </c>
      <c r="C272" s="13">
        <v>44472.505957002315</v>
      </c>
      <c r="D272" s="22">
        <v>-125.718</v>
      </c>
      <c r="E272" s="22">
        <v>111.761</v>
      </c>
      <c r="F272" s="22">
        <v>30.975000000000001</v>
      </c>
      <c r="G272" s="22">
        <v>-57.137</v>
      </c>
      <c r="H272" s="22">
        <v>59.779000000000003</v>
      </c>
      <c r="I272" s="22">
        <v>17.039000000000001</v>
      </c>
      <c r="J272" s="22">
        <v>0.21299999999999999</v>
      </c>
      <c r="K272" s="23">
        <f t="shared" si="14"/>
        <v>0.22322916666666651</v>
      </c>
      <c r="L272" s="22">
        <v>-105.871</v>
      </c>
      <c r="M272" s="22">
        <v>113.732</v>
      </c>
      <c r="N272" s="22">
        <v>32.851999999999997</v>
      </c>
      <c r="O272" s="22">
        <v>-66.233999999999995</v>
      </c>
      <c r="P272" s="22">
        <v>53.82</v>
      </c>
      <c r="Q272" s="22">
        <v>19.248000000000001</v>
      </c>
      <c r="R272" s="22">
        <v>0.22500000000000001</v>
      </c>
      <c r="S272" s="23">
        <f t="shared" si="15"/>
        <v>0.22474999999999981</v>
      </c>
      <c r="T272" s="22" t="s">
        <v>26</v>
      </c>
      <c r="U272" s="31" t="e">
        <f t="shared" si="16"/>
        <v>#VALUE!</v>
      </c>
      <c r="V272" s="25"/>
      <c r="W272" s="25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</row>
    <row r="273" spans="1:42" ht="12.75" customHeight="1" x14ac:dyDescent="0.2">
      <c r="A273" s="16"/>
      <c r="B273" s="21" t="s">
        <v>290</v>
      </c>
      <c r="C273" s="13">
        <v>44472.526790277778</v>
      </c>
      <c r="D273" s="22">
        <v>-102.499</v>
      </c>
      <c r="E273" s="22">
        <v>101.215</v>
      </c>
      <c r="F273" s="22">
        <v>30.300999999999998</v>
      </c>
      <c r="G273" s="22">
        <v>-58.494999999999997</v>
      </c>
      <c r="H273" s="22">
        <v>47.51</v>
      </c>
      <c r="I273" s="22">
        <v>16.201000000000001</v>
      </c>
      <c r="J273" s="22">
        <v>0.22500000000000001</v>
      </c>
      <c r="K273" s="23">
        <f t="shared" si="14"/>
        <v>0.22322916666666651</v>
      </c>
      <c r="L273" s="22">
        <v>-108.202</v>
      </c>
      <c r="M273" s="22">
        <v>133.07300000000001</v>
      </c>
      <c r="N273" s="22">
        <v>31.344999999999999</v>
      </c>
      <c r="O273" s="22">
        <v>-73.778000000000006</v>
      </c>
      <c r="P273" s="22">
        <v>65.528999999999996</v>
      </c>
      <c r="Q273" s="22">
        <v>18.056000000000001</v>
      </c>
      <c r="R273" s="22">
        <v>0.22500000000000001</v>
      </c>
      <c r="S273" s="23">
        <f t="shared" si="15"/>
        <v>0.22474999999999981</v>
      </c>
      <c r="T273" s="22">
        <v>0.83399999999999996</v>
      </c>
      <c r="U273" s="31">
        <f t="shared" si="16"/>
        <v>0.44838709677419353</v>
      </c>
      <c r="V273" s="25"/>
      <c r="W273" s="25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</row>
    <row r="274" spans="1:42" ht="12.75" customHeight="1" x14ac:dyDescent="0.2">
      <c r="A274" s="16"/>
      <c r="B274" s="21" t="s">
        <v>291</v>
      </c>
      <c r="C274" s="13">
        <v>44472.547623553241</v>
      </c>
      <c r="D274" s="22">
        <v>-129.80099999999999</v>
      </c>
      <c r="E274" s="22">
        <v>116.346</v>
      </c>
      <c r="F274" s="22">
        <v>30.27</v>
      </c>
      <c r="G274" s="22">
        <v>-65.114999999999995</v>
      </c>
      <c r="H274" s="22">
        <v>62.628</v>
      </c>
      <c r="I274" s="22">
        <v>16.523</v>
      </c>
      <c r="J274" s="22">
        <v>0.22500000000000001</v>
      </c>
      <c r="K274" s="23">
        <f t="shared" si="14"/>
        <v>0.22322916666666651</v>
      </c>
      <c r="L274" s="22">
        <v>-112.471</v>
      </c>
      <c r="M274" s="22">
        <v>119.33799999999999</v>
      </c>
      <c r="N274" s="22">
        <v>32.161000000000001</v>
      </c>
      <c r="O274" s="22">
        <v>-59.536999999999999</v>
      </c>
      <c r="P274" s="22">
        <v>62.11</v>
      </c>
      <c r="Q274" s="22">
        <v>17.896000000000001</v>
      </c>
      <c r="R274" s="22">
        <v>0.22500000000000001</v>
      </c>
      <c r="S274" s="23">
        <f t="shared" si="15"/>
        <v>0.22474999999999981</v>
      </c>
      <c r="T274" s="22" t="s">
        <v>26</v>
      </c>
      <c r="U274" s="31" t="e">
        <f t="shared" si="16"/>
        <v>#VALUE!</v>
      </c>
      <c r="V274" s="25"/>
      <c r="W274" s="25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</row>
    <row r="275" spans="1:42" ht="12.75" customHeight="1" x14ac:dyDescent="0.2">
      <c r="A275" s="16"/>
      <c r="B275" s="21" t="s">
        <v>292</v>
      </c>
      <c r="C275" s="13">
        <v>44472.568456828703</v>
      </c>
      <c r="D275" s="22">
        <v>-108.111</v>
      </c>
      <c r="E275" s="22">
        <v>89.418999999999997</v>
      </c>
      <c r="F275" s="22">
        <v>28.972000000000001</v>
      </c>
      <c r="G275" s="22">
        <v>-52.860999999999997</v>
      </c>
      <c r="H275" s="22">
        <v>46.957000000000001</v>
      </c>
      <c r="I275" s="22">
        <v>15.862</v>
      </c>
      <c r="J275" s="22">
        <v>0.22500000000000001</v>
      </c>
      <c r="K275" s="23">
        <f t="shared" si="14"/>
        <v>0.22322916666666651</v>
      </c>
      <c r="L275" s="22">
        <v>-98.352999999999994</v>
      </c>
      <c r="M275" s="22">
        <v>110.73099999999999</v>
      </c>
      <c r="N275" s="22">
        <v>29.675000000000001</v>
      </c>
      <c r="O275" s="22">
        <v>-48.683</v>
      </c>
      <c r="P275" s="22">
        <v>66.405000000000001</v>
      </c>
      <c r="Q275" s="22">
        <v>17.245999999999999</v>
      </c>
      <c r="R275" s="22">
        <v>0.22500000000000001</v>
      </c>
      <c r="S275" s="23">
        <f t="shared" si="15"/>
        <v>0.22474999999999981</v>
      </c>
      <c r="T275" s="22">
        <v>0.90300000000000002</v>
      </c>
      <c r="U275" s="31">
        <f t="shared" si="16"/>
        <v>0.48548387096774193</v>
      </c>
      <c r="V275" s="25"/>
      <c r="W275" s="25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</row>
    <row r="276" spans="1:42" ht="12.75" customHeight="1" x14ac:dyDescent="0.2">
      <c r="A276" s="16"/>
      <c r="B276" s="21" t="s">
        <v>293</v>
      </c>
      <c r="C276" s="13">
        <v>44472.589290104166</v>
      </c>
      <c r="D276" s="22">
        <v>-97.421000000000006</v>
      </c>
      <c r="E276" s="22">
        <v>94.837999999999994</v>
      </c>
      <c r="F276" s="22">
        <v>28.614999999999998</v>
      </c>
      <c r="G276" s="22">
        <v>-47.573</v>
      </c>
      <c r="H276" s="22">
        <v>49.503999999999998</v>
      </c>
      <c r="I276" s="22">
        <v>15.551</v>
      </c>
      <c r="J276" s="22">
        <v>0.22500000000000001</v>
      </c>
      <c r="K276" s="23">
        <f t="shared" si="14"/>
        <v>0.22322916666666651</v>
      </c>
      <c r="L276" s="22">
        <v>-96.498999999999995</v>
      </c>
      <c r="M276" s="22">
        <v>116.51600000000001</v>
      </c>
      <c r="N276" s="22">
        <v>27.741</v>
      </c>
      <c r="O276" s="22">
        <v>-58.741999999999997</v>
      </c>
      <c r="P276" s="22">
        <v>40.533999999999999</v>
      </c>
      <c r="Q276" s="22">
        <v>15.696999999999999</v>
      </c>
      <c r="R276" s="22">
        <v>0.22500000000000001</v>
      </c>
      <c r="S276" s="23">
        <f t="shared" si="15"/>
        <v>0.22474999999999981</v>
      </c>
      <c r="T276" s="22" t="s">
        <v>26</v>
      </c>
      <c r="U276" s="31" t="e">
        <f t="shared" si="16"/>
        <v>#VALUE!</v>
      </c>
      <c r="V276" s="25"/>
      <c r="W276" s="25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</row>
    <row r="277" spans="1:42" ht="12.75" customHeight="1" x14ac:dyDescent="0.2">
      <c r="A277" s="16"/>
      <c r="B277" s="21" t="s">
        <v>294</v>
      </c>
      <c r="C277" s="13">
        <v>44472.610123379629</v>
      </c>
      <c r="D277" s="22">
        <v>-115.26</v>
      </c>
      <c r="E277" s="22">
        <v>91.805999999999997</v>
      </c>
      <c r="F277" s="22">
        <v>26.7</v>
      </c>
      <c r="G277" s="22">
        <v>-41.180999999999997</v>
      </c>
      <c r="H277" s="22">
        <v>57.429000000000002</v>
      </c>
      <c r="I277" s="22">
        <v>14.544</v>
      </c>
      <c r="J277" s="22">
        <v>0.22500000000000001</v>
      </c>
      <c r="K277" s="23">
        <f t="shared" si="14"/>
        <v>0.22322916666666651</v>
      </c>
      <c r="L277" s="22">
        <v>-90.46</v>
      </c>
      <c r="M277" s="22">
        <v>114.71</v>
      </c>
      <c r="N277" s="22">
        <v>27.805</v>
      </c>
      <c r="O277" s="22">
        <v>-58.976999999999997</v>
      </c>
      <c r="P277" s="22">
        <v>52.441000000000003</v>
      </c>
      <c r="Q277" s="22">
        <v>15.364000000000001</v>
      </c>
      <c r="R277" s="22">
        <v>0.22500000000000001</v>
      </c>
      <c r="S277" s="23">
        <f t="shared" si="15"/>
        <v>0.22474999999999981</v>
      </c>
      <c r="T277" s="22">
        <v>2.3610000000000002</v>
      </c>
      <c r="U277" s="31">
        <f t="shared" si="16"/>
        <v>1.2693548387096774</v>
      </c>
      <c r="V277" s="25"/>
      <c r="W277" s="25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</row>
    <row r="278" spans="1:42" ht="12.75" customHeight="1" x14ac:dyDescent="0.2">
      <c r="A278" s="16"/>
      <c r="B278" s="21" t="s">
        <v>295</v>
      </c>
      <c r="C278" s="13">
        <v>44472.630956655092</v>
      </c>
      <c r="D278" s="22">
        <v>-97.382000000000005</v>
      </c>
      <c r="E278" s="22">
        <v>100.489</v>
      </c>
      <c r="F278" s="22">
        <v>26.733000000000001</v>
      </c>
      <c r="G278" s="22">
        <v>-55.228999999999999</v>
      </c>
      <c r="H278" s="22">
        <v>47.972999999999999</v>
      </c>
      <c r="I278" s="22">
        <v>14.558999999999999</v>
      </c>
      <c r="J278" s="22">
        <v>0.22500000000000001</v>
      </c>
      <c r="K278" s="23">
        <f t="shared" si="14"/>
        <v>0.22322916666666651</v>
      </c>
      <c r="L278" s="22">
        <v>-91.394999999999996</v>
      </c>
      <c r="M278" s="22">
        <v>105.282</v>
      </c>
      <c r="N278" s="22">
        <v>26.172999999999998</v>
      </c>
      <c r="O278" s="22">
        <v>-56.316000000000003</v>
      </c>
      <c r="P278" s="22">
        <v>45.091000000000001</v>
      </c>
      <c r="Q278" s="22">
        <v>14.465</v>
      </c>
      <c r="R278" s="22">
        <v>0.22500000000000001</v>
      </c>
      <c r="S278" s="23">
        <f t="shared" si="15"/>
        <v>0.22474999999999981</v>
      </c>
      <c r="T278" s="22" t="s">
        <v>26</v>
      </c>
      <c r="U278" s="31" t="e">
        <f t="shared" si="16"/>
        <v>#VALUE!</v>
      </c>
      <c r="V278" s="25"/>
      <c r="W278" s="25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</row>
    <row r="279" spans="1:42" ht="12.75" customHeight="1" x14ac:dyDescent="0.2">
      <c r="A279" s="16"/>
      <c r="B279" s="21" t="s">
        <v>296</v>
      </c>
      <c r="C279" s="13">
        <v>44472.651789930555</v>
      </c>
      <c r="D279" s="22">
        <v>-101.836</v>
      </c>
      <c r="E279" s="22">
        <v>89.807000000000002</v>
      </c>
      <c r="F279" s="22">
        <v>25.16</v>
      </c>
      <c r="G279" s="22">
        <v>-40.563000000000002</v>
      </c>
      <c r="H279" s="22">
        <v>60.287999999999997</v>
      </c>
      <c r="I279" s="22">
        <v>14.081</v>
      </c>
      <c r="J279" s="22">
        <v>0.188</v>
      </c>
      <c r="K279" s="23">
        <f t="shared" si="14"/>
        <v>0.22322916666666651</v>
      </c>
      <c r="L279" s="22">
        <v>-78.706000000000003</v>
      </c>
      <c r="M279" s="22">
        <v>97.061999999999998</v>
      </c>
      <c r="N279" s="22">
        <v>24.234999999999999</v>
      </c>
      <c r="O279" s="22">
        <v>-51.85</v>
      </c>
      <c r="P279" s="22">
        <v>42.618000000000002</v>
      </c>
      <c r="Q279" s="22">
        <v>13.836</v>
      </c>
      <c r="R279" s="22">
        <v>0.22500000000000001</v>
      </c>
      <c r="S279" s="23">
        <f t="shared" si="15"/>
        <v>0.22474999999999981</v>
      </c>
      <c r="T279" s="22">
        <v>0.78700000000000003</v>
      </c>
      <c r="U279" s="31">
        <f t="shared" si="16"/>
        <v>0.42311827956989245</v>
      </c>
      <c r="V279" s="25"/>
      <c r="W279" s="25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</row>
    <row r="280" spans="1:42" ht="12.75" customHeight="1" x14ac:dyDescent="0.2">
      <c r="A280" s="16"/>
      <c r="B280" s="21" t="s">
        <v>297</v>
      </c>
      <c r="C280" s="13">
        <v>44472.672623206017</v>
      </c>
      <c r="D280" s="22">
        <v>-90.546999999999997</v>
      </c>
      <c r="E280" s="22">
        <v>87.986999999999995</v>
      </c>
      <c r="F280" s="22">
        <v>25.3</v>
      </c>
      <c r="G280" s="22">
        <v>-49.558</v>
      </c>
      <c r="H280" s="22">
        <v>43.250999999999998</v>
      </c>
      <c r="I280" s="22">
        <v>13.897</v>
      </c>
      <c r="J280" s="22">
        <v>0.22500000000000001</v>
      </c>
      <c r="K280" s="23">
        <f t="shared" si="14"/>
        <v>0.22322916666666651</v>
      </c>
      <c r="L280" s="22">
        <v>-90.24</v>
      </c>
      <c r="M280" s="22">
        <v>100.986</v>
      </c>
      <c r="N280" s="22">
        <v>23.873999999999999</v>
      </c>
      <c r="O280" s="22">
        <v>-40.753</v>
      </c>
      <c r="P280" s="22">
        <v>54.281999999999996</v>
      </c>
      <c r="Q280" s="22">
        <v>12.972</v>
      </c>
      <c r="R280" s="22">
        <v>0.22500000000000001</v>
      </c>
      <c r="S280" s="23">
        <f t="shared" si="15"/>
        <v>0.22474999999999981</v>
      </c>
      <c r="T280" s="22" t="s">
        <v>26</v>
      </c>
      <c r="U280" s="31" t="e">
        <f t="shared" si="16"/>
        <v>#VALUE!</v>
      </c>
      <c r="V280" s="25"/>
      <c r="W280" s="25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</row>
    <row r="281" spans="1:42" ht="12.75" customHeight="1" x14ac:dyDescent="0.2">
      <c r="A281" s="16"/>
      <c r="B281" s="21" t="s">
        <v>298</v>
      </c>
      <c r="C281" s="13">
        <v>44472.69345648148</v>
      </c>
      <c r="D281" s="22">
        <v>-93.635000000000005</v>
      </c>
      <c r="E281" s="22">
        <v>85.561999999999998</v>
      </c>
      <c r="F281" s="22">
        <v>25.952999999999999</v>
      </c>
      <c r="G281" s="22">
        <v>-39.646999999999998</v>
      </c>
      <c r="H281" s="22">
        <v>48.527999999999999</v>
      </c>
      <c r="I281" s="22">
        <v>13.474</v>
      </c>
      <c r="J281" s="22">
        <v>0.22500000000000001</v>
      </c>
      <c r="K281" s="23">
        <f t="shared" si="14"/>
        <v>0.22322916666666651</v>
      </c>
      <c r="L281" s="22">
        <v>-100.654</v>
      </c>
      <c r="M281" s="22">
        <v>98.3</v>
      </c>
      <c r="N281" s="22">
        <v>24.245999999999999</v>
      </c>
      <c r="O281" s="22">
        <v>-39.307000000000002</v>
      </c>
      <c r="P281" s="22">
        <v>54.439</v>
      </c>
      <c r="Q281" s="22">
        <v>13.183999999999999</v>
      </c>
      <c r="R281" s="22">
        <v>0.22500000000000001</v>
      </c>
      <c r="S281" s="23">
        <f t="shared" si="15"/>
        <v>0.22474999999999981</v>
      </c>
      <c r="T281" s="22">
        <v>0.72799999999999998</v>
      </c>
      <c r="U281" s="31">
        <f t="shared" si="16"/>
        <v>0.39139784946236555</v>
      </c>
      <c r="V281" s="25"/>
      <c r="W281" s="25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</row>
    <row r="282" spans="1:42" ht="12.75" customHeight="1" x14ac:dyDescent="0.2">
      <c r="A282" s="16"/>
      <c r="B282" s="21" t="s">
        <v>299</v>
      </c>
      <c r="C282" s="13">
        <v>44472.714289756943</v>
      </c>
      <c r="D282" s="22">
        <v>-97.3</v>
      </c>
      <c r="E282" s="22">
        <v>79.915000000000006</v>
      </c>
      <c r="F282" s="22">
        <v>24.599</v>
      </c>
      <c r="G282" s="22">
        <v>-45.9</v>
      </c>
      <c r="H282" s="22">
        <v>44.131999999999998</v>
      </c>
      <c r="I282" s="22">
        <v>13.22</v>
      </c>
      <c r="J282" s="22">
        <v>0.22500000000000001</v>
      </c>
      <c r="K282" s="23">
        <f t="shared" si="14"/>
        <v>0.22322916666666651</v>
      </c>
      <c r="L282" s="22">
        <v>-78.992000000000004</v>
      </c>
      <c r="M282" s="22">
        <v>87.238</v>
      </c>
      <c r="N282" s="22">
        <v>22.652000000000001</v>
      </c>
      <c r="O282" s="22">
        <v>-40.344999999999999</v>
      </c>
      <c r="P282" s="22">
        <v>41.14</v>
      </c>
      <c r="Q282" s="22">
        <v>12.289</v>
      </c>
      <c r="R282" s="22">
        <v>0.22500000000000001</v>
      </c>
      <c r="S282" s="23">
        <f t="shared" si="15"/>
        <v>0.22474999999999981</v>
      </c>
      <c r="T282" s="22" t="s">
        <v>26</v>
      </c>
      <c r="U282" s="31" t="e">
        <f t="shared" si="16"/>
        <v>#VALUE!</v>
      </c>
      <c r="V282" s="25"/>
      <c r="W282" s="25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</row>
    <row r="283" spans="1:42" ht="12.75" customHeight="1" x14ac:dyDescent="0.2">
      <c r="A283" s="16"/>
      <c r="B283" s="21" t="s">
        <v>300</v>
      </c>
      <c r="C283" s="13">
        <v>44472.735123032406</v>
      </c>
      <c r="D283" s="22">
        <v>-88.938999999999993</v>
      </c>
      <c r="E283" s="22">
        <v>80.966999999999999</v>
      </c>
      <c r="F283" s="22">
        <v>24.337</v>
      </c>
      <c r="G283" s="22">
        <v>-40.109000000000002</v>
      </c>
      <c r="H283" s="22">
        <v>37.524000000000001</v>
      </c>
      <c r="I283" s="22">
        <v>12.826000000000001</v>
      </c>
      <c r="J283" s="22">
        <v>0.22500000000000001</v>
      </c>
      <c r="K283" s="23">
        <f t="shared" si="14"/>
        <v>0.22322916666666651</v>
      </c>
      <c r="L283" s="22">
        <v>-81.510999999999996</v>
      </c>
      <c r="M283" s="22">
        <v>75.728999999999999</v>
      </c>
      <c r="N283" s="22">
        <v>24.167000000000002</v>
      </c>
      <c r="O283" s="22">
        <v>-41.293999999999997</v>
      </c>
      <c r="P283" s="22">
        <v>43.027000000000001</v>
      </c>
      <c r="Q283" s="22">
        <v>12.993</v>
      </c>
      <c r="R283" s="22">
        <v>0.22500000000000001</v>
      </c>
      <c r="S283" s="23">
        <f t="shared" si="15"/>
        <v>0.22474999999999981</v>
      </c>
      <c r="T283" s="22">
        <v>0.67200000000000004</v>
      </c>
      <c r="U283" s="31">
        <f t="shared" si="16"/>
        <v>0.36129032258064514</v>
      </c>
      <c r="V283" s="25"/>
      <c r="W283" s="25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</row>
    <row r="284" spans="1:42" ht="12.75" customHeight="1" x14ac:dyDescent="0.2">
      <c r="A284" s="16"/>
      <c r="B284" s="21" t="s">
        <v>301</v>
      </c>
      <c r="C284" s="13">
        <v>44472.755956307868</v>
      </c>
      <c r="D284" s="22">
        <v>-97.596999999999994</v>
      </c>
      <c r="E284" s="22">
        <v>93.433000000000007</v>
      </c>
      <c r="F284" s="22">
        <v>24.54</v>
      </c>
      <c r="G284" s="22">
        <v>-43.832999999999998</v>
      </c>
      <c r="H284" s="22">
        <v>46.383000000000003</v>
      </c>
      <c r="I284" s="22">
        <v>13.032999999999999</v>
      </c>
      <c r="J284" s="22">
        <v>0.22500000000000001</v>
      </c>
      <c r="K284" s="23">
        <f t="shared" si="14"/>
        <v>0.22322916666666651</v>
      </c>
      <c r="L284" s="22">
        <v>-80.337000000000003</v>
      </c>
      <c r="M284" s="22">
        <v>85.88</v>
      </c>
      <c r="N284" s="22">
        <v>23.091999999999999</v>
      </c>
      <c r="O284" s="22">
        <v>-38.308</v>
      </c>
      <c r="P284" s="22">
        <v>43.881</v>
      </c>
      <c r="Q284" s="22">
        <v>12.481999999999999</v>
      </c>
      <c r="R284" s="22">
        <v>0.22500000000000001</v>
      </c>
      <c r="S284" s="23">
        <f t="shared" si="15"/>
        <v>0.22474999999999981</v>
      </c>
      <c r="T284" s="22" t="s">
        <v>26</v>
      </c>
      <c r="U284" s="31" t="e">
        <f t="shared" si="16"/>
        <v>#VALUE!</v>
      </c>
      <c r="V284" s="25"/>
      <c r="W284" s="25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</row>
    <row r="285" spans="1:42" ht="12.75" customHeight="1" x14ac:dyDescent="0.2">
      <c r="A285" s="16"/>
      <c r="B285" s="21" t="s">
        <v>302</v>
      </c>
      <c r="C285" s="13">
        <v>44472.776789583331</v>
      </c>
      <c r="D285" s="22">
        <v>-96.233000000000004</v>
      </c>
      <c r="E285" s="22">
        <v>99.694000000000003</v>
      </c>
      <c r="F285" s="22">
        <v>25.030999999999999</v>
      </c>
      <c r="G285" s="22">
        <v>-45.082000000000001</v>
      </c>
      <c r="H285" s="22">
        <v>42.383000000000003</v>
      </c>
      <c r="I285" s="22">
        <v>13.284000000000001</v>
      </c>
      <c r="J285" s="22">
        <v>0.22500000000000001</v>
      </c>
      <c r="K285" s="23">
        <f t="shared" si="14"/>
        <v>0.22322916666666651</v>
      </c>
      <c r="L285" s="22">
        <v>-81.058999999999997</v>
      </c>
      <c r="M285" s="22">
        <v>81</v>
      </c>
      <c r="N285" s="22">
        <v>24.890999999999998</v>
      </c>
      <c r="O285" s="22">
        <v>-45.610999999999997</v>
      </c>
      <c r="P285" s="22">
        <v>40.822000000000003</v>
      </c>
      <c r="Q285" s="22">
        <v>13.43</v>
      </c>
      <c r="R285" s="22">
        <v>0.22500000000000001</v>
      </c>
      <c r="S285" s="23">
        <f t="shared" si="15"/>
        <v>0.22474999999999981</v>
      </c>
      <c r="T285" s="22">
        <v>0.63400000000000001</v>
      </c>
      <c r="U285" s="31">
        <f t="shared" si="16"/>
        <v>0.3408602150537634</v>
      </c>
      <c r="V285" s="25"/>
      <c r="W285" s="25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</row>
    <row r="286" spans="1:42" ht="12.75" customHeight="1" x14ac:dyDescent="0.2">
      <c r="A286" s="16"/>
      <c r="B286" s="21" t="s">
        <v>303</v>
      </c>
      <c r="C286" s="13">
        <v>44472.797622858794</v>
      </c>
      <c r="D286" s="22">
        <v>-108.574</v>
      </c>
      <c r="E286" s="22">
        <v>84.876999999999995</v>
      </c>
      <c r="F286" s="22">
        <v>26.125</v>
      </c>
      <c r="G286" s="22">
        <v>-50.122</v>
      </c>
      <c r="H286" s="22">
        <v>47.097999999999999</v>
      </c>
      <c r="I286" s="22">
        <v>13.685</v>
      </c>
      <c r="J286" s="22">
        <v>0.22500000000000001</v>
      </c>
      <c r="K286" s="23">
        <f t="shared" si="14"/>
        <v>0.22322916666666651</v>
      </c>
      <c r="L286" s="22">
        <v>-82.611000000000004</v>
      </c>
      <c r="M286" s="22">
        <v>96.100999999999999</v>
      </c>
      <c r="N286" s="22">
        <v>25.983000000000001</v>
      </c>
      <c r="O286" s="22">
        <v>-42.155000000000001</v>
      </c>
      <c r="P286" s="22">
        <v>47.796999999999997</v>
      </c>
      <c r="Q286" s="22">
        <v>13.882999999999999</v>
      </c>
      <c r="R286" s="22">
        <v>0.22500000000000001</v>
      </c>
      <c r="S286" s="23">
        <f t="shared" si="15"/>
        <v>0.22474999999999981</v>
      </c>
      <c r="T286" s="22" t="s">
        <v>26</v>
      </c>
      <c r="U286" s="31" t="e">
        <f t="shared" si="16"/>
        <v>#VALUE!</v>
      </c>
      <c r="V286" s="25"/>
      <c r="W286" s="25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</row>
    <row r="287" spans="1:42" ht="12.75" customHeight="1" x14ac:dyDescent="0.2">
      <c r="A287" s="16"/>
      <c r="B287" s="21" t="s">
        <v>304</v>
      </c>
      <c r="C287" s="13">
        <v>44472.818456134257</v>
      </c>
      <c r="D287" s="22">
        <v>-85.984999999999999</v>
      </c>
      <c r="E287" s="22">
        <v>76.909000000000006</v>
      </c>
      <c r="F287" s="22">
        <v>24.015000000000001</v>
      </c>
      <c r="G287" s="22">
        <v>-37.892000000000003</v>
      </c>
      <c r="H287" s="22">
        <v>40.6</v>
      </c>
      <c r="I287" s="22">
        <v>12.8</v>
      </c>
      <c r="J287" s="22">
        <v>0.22500000000000001</v>
      </c>
      <c r="K287" s="23">
        <f t="shared" si="14"/>
        <v>0.22322916666666651</v>
      </c>
      <c r="L287" s="22">
        <v>-72.341999999999999</v>
      </c>
      <c r="M287" s="22">
        <v>76.641999999999996</v>
      </c>
      <c r="N287" s="22">
        <v>22.675999999999998</v>
      </c>
      <c r="O287" s="22">
        <v>-42.869</v>
      </c>
      <c r="P287" s="22">
        <v>36.265000000000001</v>
      </c>
      <c r="Q287" s="22">
        <v>12.355</v>
      </c>
      <c r="R287" s="22">
        <v>0.22500000000000001</v>
      </c>
      <c r="S287" s="23">
        <f t="shared" si="15"/>
        <v>0.22474999999999981</v>
      </c>
      <c r="T287" s="22">
        <v>0.64</v>
      </c>
      <c r="U287" s="31">
        <f t="shared" si="16"/>
        <v>0.34408602150537632</v>
      </c>
      <c r="V287" s="25"/>
      <c r="W287" s="25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</row>
    <row r="288" spans="1:42" ht="12.75" customHeight="1" x14ac:dyDescent="0.2">
      <c r="A288" s="16"/>
      <c r="B288" s="21" t="s">
        <v>305</v>
      </c>
      <c r="C288" s="13">
        <v>44472.83928940972</v>
      </c>
      <c r="D288" s="22">
        <v>-94.658000000000001</v>
      </c>
      <c r="E288" s="22">
        <v>81.254999999999995</v>
      </c>
      <c r="F288" s="22">
        <v>25.675999999999998</v>
      </c>
      <c r="G288" s="22">
        <v>-44.262</v>
      </c>
      <c r="H288" s="22">
        <v>40.81</v>
      </c>
      <c r="I288" s="22">
        <v>13.121</v>
      </c>
      <c r="J288" s="22">
        <v>0.22500000000000001</v>
      </c>
      <c r="K288" s="23">
        <f t="shared" si="14"/>
        <v>0.22322916666666651</v>
      </c>
      <c r="L288" s="22">
        <v>-77.884</v>
      </c>
      <c r="M288" s="22">
        <v>81.835999999999999</v>
      </c>
      <c r="N288" s="22">
        <v>25.170999999999999</v>
      </c>
      <c r="O288" s="22">
        <v>-43.262999999999998</v>
      </c>
      <c r="P288" s="22">
        <v>32.951999999999998</v>
      </c>
      <c r="Q288" s="22">
        <v>12.925000000000001</v>
      </c>
      <c r="R288" s="22">
        <v>0.22500000000000001</v>
      </c>
      <c r="S288" s="23">
        <f t="shared" si="15"/>
        <v>0.22474999999999981</v>
      </c>
      <c r="T288" s="22" t="s">
        <v>26</v>
      </c>
      <c r="U288" s="31" t="e">
        <f t="shared" si="16"/>
        <v>#VALUE!</v>
      </c>
      <c r="V288" s="25"/>
      <c r="W288" s="25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</row>
    <row r="289" spans="1:42" ht="12.75" customHeight="1" x14ac:dyDescent="0.2">
      <c r="A289" s="16"/>
      <c r="B289" s="21" t="s">
        <v>306</v>
      </c>
      <c r="C289" s="13">
        <v>44472.860122685182</v>
      </c>
      <c r="D289" s="22">
        <v>-100.682</v>
      </c>
      <c r="E289" s="22">
        <v>80.686000000000007</v>
      </c>
      <c r="F289" s="22">
        <v>24.995000000000001</v>
      </c>
      <c r="G289" s="22">
        <v>-37.192</v>
      </c>
      <c r="H289" s="22">
        <v>42.061</v>
      </c>
      <c r="I289" s="22">
        <v>12.359</v>
      </c>
      <c r="J289" s="22">
        <v>0.22500000000000001</v>
      </c>
      <c r="K289" s="23">
        <f t="shared" si="14"/>
        <v>0.22322916666666651</v>
      </c>
      <c r="L289" s="22">
        <v>-83.954999999999998</v>
      </c>
      <c r="M289" s="22">
        <v>83.221000000000004</v>
      </c>
      <c r="N289" s="22">
        <v>25.922000000000001</v>
      </c>
      <c r="O289" s="22">
        <v>-39.482999999999997</v>
      </c>
      <c r="P289" s="22">
        <v>40.598999999999997</v>
      </c>
      <c r="Q289" s="22">
        <v>13.583</v>
      </c>
      <c r="R289" s="22">
        <v>0.22500000000000001</v>
      </c>
      <c r="S289" s="23">
        <f t="shared" si="15"/>
        <v>0.22474999999999981</v>
      </c>
      <c r="T289" s="22">
        <v>0.67500000000000004</v>
      </c>
      <c r="U289" s="31">
        <f t="shared" si="16"/>
        <v>0.36290322580645162</v>
      </c>
      <c r="V289" s="25"/>
      <c r="W289" s="25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</row>
    <row r="290" spans="1:42" ht="12.75" customHeight="1" x14ac:dyDescent="0.2">
      <c r="A290" s="16"/>
      <c r="B290" s="21" t="s">
        <v>307</v>
      </c>
      <c r="C290" s="13">
        <v>44472.880955960645</v>
      </c>
      <c r="D290" s="22">
        <v>-98.146000000000001</v>
      </c>
      <c r="E290" s="22">
        <v>75.215000000000003</v>
      </c>
      <c r="F290" s="22">
        <v>25.231999999999999</v>
      </c>
      <c r="G290" s="22">
        <v>-43.868000000000002</v>
      </c>
      <c r="H290" s="22">
        <v>38.771999999999998</v>
      </c>
      <c r="I290" s="22">
        <v>12.435</v>
      </c>
      <c r="J290" s="22">
        <v>0.22500000000000001</v>
      </c>
      <c r="K290" s="23">
        <f t="shared" si="14"/>
        <v>0.22322916666666651</v>
      </c>
      <c r="L290" s="22">
        <v>-78.308999999999997</v>
      </c>
      <c r="M290" s="22">
        <v>78.863</v>
      </c>
      <c r="N290" s="22">
        <v>25.629000000000001</v>
      </c>
      <c r="O290" s="22">
        <v>-29.95</v>
      </c>
      <c r="P290" s="22">
        <v>41.421999999999997</v>
      </c>
      <c r="Q290" s="22">
        <v>12.654</v>
      </c>
      <c r="R290" s="22">
        <v>0.22500000000000001</v>
      </c>
      <c r="S290" s="23">
        <f t="shared" si="15"/>
        <v>0.22474999999999981</v>
      </c>
      <c r="T290" s="22" t="s">
        <v>26</v>
      </c>
      <c r="U290" s="31" t="e">
        <f t="shared" si="16"/>
        <v>#VALUE!</v>
      </c>
      <c r="V290" s="25"/>
      <c r="W290" s="25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</row>
    <row r="291" spans="1:42" ht="12.75" customHeight="1" x14ac:dyDescent="0.2">
      <c r="A291" s="16"/>
      <c r="B291" s="21" t="s">
        <v>308</v>
      </c>
      <c r="C291" s="13">
        <v>44472.901789236108</v>
      </c>
      <c r="D291" s="22">
        <v>-85.757999999999996</v>
      </c>
      <c r="E291" s="22">
        <v>74.546999999999997</v>
      </c>
      <c r="F291" s="22">
        <v>24.515999999999998</v>
      </c>
      <c r="G291" s="22">
        <v>-36.249000000000002</v>
      </c>
      <c r="H291" s="22">
        <v>35.136000000000003</v>
      </c>
      <c r="I291" s="22">
        <v>11.861000000000001</v>
      </c>
      <c r="J291" s="22">
        <v>0.22500000000000001</v>
      </c>
      <c r="K291" s="23">
        <f t="shared" si="14"/>
        <v>0.22322916666666651</v>
      </c>
      <c r="L291" s="22">
        <v>-92.010999999999996</v>
      </c>
      <c r="M291" s="22">
        <v>90.284000000000006</v>
      </c>
      <c r="N291" s="22">
        <v>25.858000000000001</v>
      </c>
      <c r="O291" s="22">
        <v>-36.256</v>
      </c>
      <c r="P291" s="22">
        <v>48.256999999999998</v>
      </c>
      <c r="Q291" s="22">
        <v>12.593999999999999</v>
      </c>
      <c r="R291" s="22">
        <v>0.22500000000000001</v>
      </c>
      <c r="S291" s="23">
        <f t="shared" si="15"/>
        <v>0.22474999999999981</v>
      </c>
      <c r="T291" s="22">
        <v>0.70599999999999996</v>
      </c>
      <c r="U291" s="31">
        <f t="shared" si="16"/>
        <v>0.37956989247311823</v>
      </c>
      <c r="V291" s="25"/>
      <c r="W291" s="25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</row>
    <row r="292" spans="1:42" ht="12.75" customHeight="1" x14ac:dyDescent="0.2">
      <c r="A292" s="16"/>
      <c r="B292" s="21" t="s">
        <v>309</v>
      </c>
      <c r="C292" s="13">
        <v>44472.922622511571</v>
      </c>
      <c r="D292" s="22">
        <v>-111.8</v>
      </c>
      <c r="E292" s="22">
        <v>94.156999999999996</v>
      </c>
      <c r="F292" s="22">
        <v>25.373000000000001</v>
      </c>
      <c r="G292" s="22">
        <v>-41.881999999999998</v>
      </c>
      <c r="H292" s="22">
        <v>49.677999999999997</v>
      </c>
      <c r="I292" s="22">
        <v>12.51</v>
      </c>
      <c r="J292" s="22">
        <v>0.22500000000000001</v>
      </c>
      <c r="K292" s="23">
        <f t="shared" si="14"/>
        <v>0.22322916666666651</v>
      </c>
      <c r="L292" s="22">
        <v>-92.323999999999998</v>
      </c>
      <c r="M292" s="22">
        <v>89.076999999999998</v>
      </c>
      <c r="N292" s="22">
        <v>25.216000000000001</v>
      </c>
      <c r="O292" s="22">
        <v>-50.438000000000002</v>
      </c>
      <c r="P292" s="22">
        <v>38.35</v>
      </c>
      <c r="Q292" s="22">
        <v>12.414999999999999</v>
      </c>
      <c r="R292" s="22">
        <v>0.22500000000000001</v>
      </c>
      <c r="S292" s="23">
        <f t="shared" si="15"/>
        <v>0.22474999999999981</v>
      </c>
      <c r="T292" s="22" t="s">
        <v>26</v>
      </c>
      <c r="U292" s="31" t="e">
        <f t="shared" si="16"/>
        <v>#VALUE!</v>
      </c>
      <c r="V292" s="25"/>
      <c r="W292" s="25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</row>
    <row r="293" spans="1:42" ht="12.75" customHeight="1" x14ac:dyDescent="0.2">
      <c r="A293" s="16"/>
      <c r="B293" s="21" t="s">
        <v>310</v>
      </c>
      <c r="C293" s="13">
        <v>44472.943455787034</v>
      </c>
      <c r="D293" s="22">
        <v>-85.007000000000005</v>
      </c>
      <c r="E293" s="22">
        <v>68.171000000000006</v>
      </c>
      <c r="F293" s="22">
        <v>23.645</v>
      </c>
      <c r="G293" s="22">
        <v>-35.762</v>
      </c>
      <c r="H293" s="22">
        <v>34.667999999999999</v>
      </c>
      <c r="I293" s="22">
        <v>11.590999999999999</v>
      </c>
      <c r="J293" s="22">
        <v>0.22500000000000001</v>
      </c>
      <c r="K293" s="23">
        <f t="shared" si="14"/>
        <v>0.22322916666666651</v>
      </c>
      <c r="L293" s="22">
        <v>-98.662000000000006</v>
      </c>
      <c r="M293" s="22">
        <v>105.407</v>
      </c>
      <c r="N293" s="22">
        <v>23.606000000000002</v>
      </c>
      <c r="O293" s="22">
        <v>-48.49</v>
      </c>
      <c r="P293" s="22">
        <v>42.149000000000001</v>
      </c>
      <c r="Q293" s="22">
        <v>11.512</v>
      </c>
      <c r="R293" s="22">
        <v>0.22500000000000001</v>
      </c>
      <c r="S293" s="23">
        <f t="shared" si="15"/>
        <v>0.22474999999999981</v>
      </c>
      <c r="T293" s="22">
        <v>0.77700000000000002</v>
      </c>
      <c r="U293" s="31">
        <f t="shared" si="16"/>
        <v>0.41774193548387095</v>
      </c>
      <c r="V293" s="25"/>
      <c r="W293" s="25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</row>
    <row r="294" spans="1:42" ht="12.75" customHeight="1" x14ac:dyDescent="0.2">
      <c r="A294" s="16"/>
      <c r="B294" s="21" t="s">
        <v>311</v>
      </c>
      <c r="C294" s="13">
        <v>44472.964289062496</v>
      </c>
      <c r="D294" s="22">
        <v>-89.706000000000003</v>
      </c>
      <c r="E294" s="22">
        <v>81.611000000000004</v>
      </c>
      <c r="F294" s="22">
        <v>24.888000000000002</v>
      </c>
      <c r="G294" s="22">
        <v>-41.798999999999999</v>
      </c>
      <c r="H294" s="22">
        <v>34.850999999999999</v>
      </c>
      <c r="I294" s="22">
        <v>12.225</v>
      </c>
      <c r="J294" s="22">
        <v>0.22500000000000001</v>
      </c>
      <c r="K294" s="23">
        <f t="shared" si="14"/>
        <v>0.22322916666666651</v>
      </c>
      <c r="L294" s="22">
        <v>-82.004999999999995</v>
      </c>
      <c r="M294" s="22">
        <v>83.343999999999994</v>
      </c>
      <c r="N294" s="22">
        <v>24.465</v>
      </c>
      <c r="O294" s="22">
        <v>-33.167000000000002</v>
      </c>
      <c r="P294" s="22">
        <v>40.453000000000003</v>
      </c>
      <c r="Q294" s="22">
        <v>12.157</v>
      </c>
      <c r="R294" s="22">
        <v>0.22500000000000001</v>
      </c>
      <c r="S294" s="23">
        <f t="shared" si="15"/>
        <v>0.22474999999999981</v>
      </c>
      <c r="T294" s="22" t="s">
        <v>26</v>
      </c>
      <c r="U294" s="31" t="e">
        <f t="shared" si="16"/>
        <v>#VALUE!</v>
      </c>
      <c r="V294" s="25"/>
      <c r="W294" s="25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</row>
    <row r="295" spans="1:42" ht="12.75" customHeight="1" x14ac:dyDescent="0.2">
      <c r="A295" s="16"/>
      <c r="B295" s="21" t="s">
        <v>312</v>
      </c>
      <c r="C295" s="13">
        <v>44472.985122337966</v>
      </c>
      <c r="D295" s="22">
        <v>-77.411000000000001</v>
      </c>
      <c r="E295" s="22">
        <v>76.399000000000001</v>
      </c>
      <c r="F295" s="22">
        <v>22.731999999999999</v>
      </c>
      <c r="G295" s="22">
        <v>-42.345999999999997</v>
      </c>
      <c r="H295" s="22">
        <v>33.000999999999998</v>
      </c>
      <c r="I295" s="22">
        <v>11.444000000000001</v>
      </c>
      <c r="J295" s="22">
        <v>0.22500000000000001</v>
      </c>
      <c r="K295" s="23">
        <f t="shared" si="14"/>
        <v>0.22322916666666651</v>
      </c>
      <c r="L295" s="22">
        <v>-83.629000000000005</v>
      </c>
      <c r="M295" s="22">
        <v>86.155000000000001</v>
      </c>
      <c r="N295" s="22">
        <v>22.535</v>
      </c>
      <c r="O295" s="22">
        <v>-41.994999999999997</v>
      </c>
      <c r="P295" s="22">
        <v>34.901000000000003</v>
      </c>
      <c r="Q295" s="22">
        <v>11.26</v>
      </c>
      <c r="R295" s="22">
        <v>0.22500000000000001</v>
      </c>
      <c r="S295" s="23">
        <f t="shared" si="15"/>
        <v>0.22474999999999981</v>
      </c>
      <c r="T295" s="22">
        <v>0.59099999999999997</v>
      </c>
      <c r="U295" s="31">
        <f t="shared" si="16"/>
        <v>0.31774193548387092</v>
      </c>
      <c r="V295" s="25"/>
      <c r="W295" s="25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</row>
    <row r="296" spans="1:42" ht="12.75" customHeight="1" x14ac:dyDescent="0.2">
      <c r="A296" s="11">
        <v>7</v>
      </c>
      <c r="B296" s="12" t="s">
        <v>313</v>
      </c>
      <c r="C296" s="13">
        <v>44473.005955613429</v>
      </c>
      <c r="D296" s="14">
        <v>-76.117999999999995</v>
      </c>
      <c r="E296" s="14">
        <v>71.141000000000005</v>
      </c>
      <c r="F296" s="14">
        <v>23.041</v>
      </c>
      <c r="G296" s="14">
        <v>-32.537999999999997</v>
      </c>
      <c r="H296" s="14">
        <v>35.411999999999999</v>
      </c>
      <c r="I296" s="14">
        <v>11.27</v>
      </c>
      <c r="J296" s="14">
        <v>0.22500000000000001</v>
      </c>
      <c r="K296" s="15">
        <f>AVERAGE(J296:J343)</f>
        <v>0.22268749999999984</v>
      </c>
      <c r="L296" s="14">
        <v>-79.635000000000005</v>
      </c>
      <c r="M296" s="14">
        <v>80.674000000000007</v>
      </c>
      <c r="N296" s="14">
        <v>23.283999999999999</v>
      </c>
      <c r="O296" s="14">
        <v>-35.808</v>
      </c>
      <c r="P296" s="14">
        <v>36.415999999999997</v>
      </c>
      <c r="Q296" s="14">
        <v>11.444000000000001</v>
      </c>
      <c r="R296" s="14">
        <v>0.22500000000000001</v>
      </c>
      <c r="S296" s="15">
        <f>AVERAGE(R296:R343)</f>
        <v>0.22241666666666648</v>
      </c>
      <c r="T296" s="14" t="s">
        <v>26</v>
      </c>
      <c r="U296" s="31" t="e">
        <f t="shared" si="16"/>
        <v>#VALUE!</v>
      </c>
      <c r="V296" s="2"/>
      <c r="W296" s="2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2.75" customHeight="1" x14ac:dyDescent="0.2">
      <c r="A297" s="16"/>
      <c r="B297" s="12" t="s">
        <v>314</v>
      </c>
      <c r="C297" s="13">
        <v>44473.026788888892</v>
      </c>
      <c r="D297" s="14">
        <v>-76.316999999999993</v>
      </c>
      <c r="E297" s="14">
        <v>72.058999999999997</v>
      </c>
      <c r="F297" s="14">
        <v>21.786000000000001</v>
      </c>
      <c r="G297" s="14">
        <v>-39.945999999999998</v>
      </c>
      <c r="H297" s="14">
        <v>29.488</v>
      </c>
      <c r="I297" s="14">
        <v>10.936</v>
      </c>
      <c r="J297" s="14">
        <v>0.22500000000000001</v>
      </c>
      <c r="K297" s="15">
        <f t="shared" ref="K297:K343" si="17">K296</f>
        <v>0.22268749999999984</v>
      </c>
      <c r="L297" s="14">
        <v>-74.727000000000004</v>
      </c>
      <c r="M297" s="14">
        <v>73.207999999999998</v>
      </c>
      <c r="N297" s="14">
        <v>21.465</v>
      </c>
      <c r="O297" s="14">
        <v>-38.472000000000001</v>
      </c>
      <c r="P297" s="14">
        <v>40.710999999999999</v>
      </c>
      <c r="Q297" s="14">
        <v>10.973000000000001</v>
      </c>
      <c r="R297" s="14">
        <v>0.22500000000000001</v>
      </c>
      <c r="S297" s="15">
        <f t="shared" ref="S297:S343" si="18">S296</f>
        <v>0.22241666666666648</v>
      </c>
      <c r="T297" s="14">
        <v>0.56399999999999995</v>
      </c>
      <c r="U297" s="31">
        <f t="shared" si="16"/>
        <v>0.30322580645161284</v>
      </c>
      <c r="V297" s="2"/>
      <c r="W297" s="2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2.75" customHeight="1" x14ac:dyDescent="0.2">
      <c r="A298" s="16"/>
      <c r="B298" s="12" t="s">
        <v>315</v>
      </c>
      <c r="C298" s="13">
        <v>44473.047622164355</v>
      </c>
      <c r="D298" s="14">
        <v>-78.305000000000007</v>
      </c>
      <c r="E298" s="14">
        <v>69.858000000000004</v>
      </c>
      <c r="F298" s="14">
        <v>21.518000000000001</v>
      </c>
      <c r="G298" s="14">
        <v>-38.423000000000002</v>
      </c>
      <c r="H298" s="14">
        <v>32.274999999999999</v>
      </c>
      <c r="I298" s="14">
        <v>11.016999999999999</v>
      </c>
      <c r="J298" s="14">
        <v>0.22500000000000001</v>
      </c>
      <c r="K298" s="15">
        <f t="shared" si="17"/>
        <v>0.22268749999999984</v>
      </c>
      <c r="L298" s="14">
        <v>-71.588999999999999</v>
      </c>
      <c r="M298" s="14">
        <v>77.819000000000003</v>
      </c>
      <c r="N298" s="14">
        <v>21.564</v>
      </c>
      <c r="O298" s="14">
        <v>-32.348999999999997</v>
      </c>
      <c r="P298" s="14">
        <v>43.563000000000002</v>
      </c>
      <c r="Q298" s="14">
        <v>11.166</v>
      </c>
      <c r="R298" s="14">
        <v>0.22500000000000001</v>
      </c>
      <c r="S298" s="15">
        <f t="shared" si="18"/>
        <v>0.22241666666666648</v>
      </c>
      <c r="T298" s="14" t="s">
        <v>26</v>
      </c>
      <c r="U298" s="31" t="e">
        <f t="shared" si="16"/>
        <v>#VALUE!</v>
      </c>
      <c r="V298" s="2"/>
      <c r="W298" s="2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2.75" customHeight="1" x14ac:dyDescent="0.2">
      <c r="A299" s="16"/>
      <c r="B299" s="12" t="s">
        <v>316</v>
      </c>
      <c r="C299" s="13">
        <v>44473.068455439818</v>
      </c>
      <c r="D299" s="14">
        <v>-70.942999999999998</v>
      </c>
      <c r="E299" s="14">
        <v>62.051000000000002</v>
      </c>
      <c r="F299" s="14">
        <v>18.628</v>
      </c>
      <c r="G299" s="14">
        <v>-28.484999999999999</v>
      </c>
      <c r="H299" s="14">
        <v>31.818000000000001</v>
      </c>
      <c r="I299" s="14">
        <v>9.6859999999999999</v>
      </c>
      <c r="J299" s="14">
        <v>0.22500000000000001</v>
      </c>
      <c r="K299" s="15">
        <f t="shared" si="17"/>
        <v>0.22268749999999984</v>
      </c>
      <c r="L299" s="14">
        <v>-69.262</v>
      </c>
      <c r="M299" s="14">
        <v>65.980999999999995</v>
      </c>
      <c r="N299" s="14">
        <v>19.050999999999998</v>
      </c>
      <c r="O299" s="14">
        <v>-30.369</v>
      </c>
      <c r="P299" s="14">
        <v>33.853999999999999</v>
      </c>
      <c r="Q299" s="14">
        <v>10.17</v>
      </c>
      <c r="R299" s="14">
        <v>0.22500000000000001</v>
      </c>
      <c r="S299" s="15">
        <f t="shared" si="18"/>
        <v>0.22241666666666648</v>
      </c>
      <c r="T299" s="14">
        <v>0.53500000000000003</v>
      </c>
      <c r="U299" s="31">
        <f t="shared" si="16"/>
        <v>0.28763440860215056</v>
      </c>
      <c r="V299" s="2"/>
      <c r="W299" s="2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2.75" customHeight="1" x14ac:dyDescent="0.2">
      <c r="A300" s="16"/>
      <c r="B300" s="12" t="s">
        <v>317</v>
      </c>
      <c r="C300" s="13">
        <v>44473.08928871528</v>
      </c>
      <c r="D300" s="14">
        <v>-73.064999999999998</v>
      </c>
      <c r="E300" s="14">
        <v>74.576999999999998</v>
      </c>
      <c r="F300" s="14">
        <v>19.355</v>
      </c>
      <c r="G300" s="14">
        <v>-34.078000000000003</v>
      </c>
      <c r="H300" s="14">
        <v>37.18</v>
      </c>
      <c r="I300" s="14">
        <v>10.356</v>
      </c>
      <c r="J300" s="14">
        <v>0.22500000000000001</v>
      </c>
      <c r="K300" s="15">
        <f t="shared" si="17"/>
        <v>0.22268749999999984</v>
      </c>
      <c r="L300" s="14">
        <v>-68.040999999999997</v>
      </c>
      <c r="M300" s="14">
        <v>69.153000000000006</v>
      </c>
      <c r="N300" s="14">
        <v>17.61</v>
      </c>
      <c r="O300" s="14">
        <v>-33.68</v>
      </c>
      <c r="P300" s="14">
        <v>29.86</v>
      </c>
      <c r="Q300" s="14">
        <v>9.5150000000000006</v>
      </c>
      <c r="R300" s="14">
        <v>0.22500000000000001</v>
      </c>
      <c r="S300" s="15">
        <f t="shared" si="18"/>
        <v>0.22241666666666648</v>
      </c>
      <c r="T300" s="14" t="s">
        <v>26</v>
      </c>
      <c r="U300" s="31" t="e">
        <f t="shared" si="16"/>
        <v>#VALUE!</v>
      </c>
      <c r="V300" s="2"/>
      <c r="W300" s="2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2.75" customHeight="1" x14ac:dyDescent="0.2">
      <c r="A301" s="16"/>
      <c r="B301" s="12" t="s">
        <v>318</v>
      </c>
      <c r="C301" s="13">
        <v>44473.110121990743</v>
      </c>
      <c r="D301" s="14">
        <v>-73.875</v>
      </c>
      <c r="E301" s="14">
        <v>62.734000000000002</v>
      </c>
      <c r="F301" s="14">
        <v>18.651</v>
      </c>
      <c r="G301" s="14">
        <v>-24.48</v>
      </c>
      <c r="H301" s="14">
        <v>39.764000000000003</v>
      </c>
      <c r="I301" s="14">
        <v>9.7929999999999993</v>
      </c>
      <c r="J301" s="14">
        <v>0.22500000000000001</v>
      </c>
      <c r="K301" s="15">
        <f t="shared" si="17"/>
        <v>0.22268749999999984</v>
      </c>
      <c r="L301" s="14">
        <v>-65.507999999999996</v>
      </c>
      <c r="M301" s="14">
        <v>73.070999999999998</v>
      </c>
      <c r="N301" s="14">
        <v>18.649000000000001</v>
      </c>
      <c r="O301" s="14">
        <v>-41.935000000000002</v>
      </c>
      <c r="P301" s="14">
        <v>30.8</v>
      </c>
      <c r="Q301" s="14">
        <v>10.06</v>
      </c>
      <c r="R301" s="14">
        <v>0.22500000000000001</v>
      </c>
      <c r="S301" s="15">
        <f t="shared" si="18"/>
        <v>0.22241666666666648</v>
      </c>
      <c r="T301" s="14">
        <v>0.57499999999999996</v>
      </c>
      <c r="U301" s="31">
        <f t="shared" si="16"/>
        <v>0.30913978494623651</v>
      </c>
      <c r="V301" s="2"/>
      <c r="W301" s="2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2.75" customHeight="1" x14ac:dyDescent="0.2">
      <c r="A302" s="16"/>
      <c r="B302" s="12" t="s">
        <v>319</v>
      </c>
      <c r="C302" s="13">
        <v>44473.130955266206</v>
      </c>
      <c r="D302" s="14">
        <v>-64.724999999999994</v>
      </c>
      <c r="E302" s="14">
        <v>71.997</v>
      </c>
      <c r="F302" s="14">
        <v>18.568999999999999</v>
      </c>
      <c r="G302" s="14">
        <v>-35.686999999999998</v>
      </c>
      <c r="H302" s="14">
        <v>37.564999999999998</v>
      </c>
      <c r="I302" s="14">
        <v>9.8729999999999993</v>
      </c>
      <c r="J302" s="14">
        <v>0.22500000000000001</v>
      </c>
      <c r="K302" s="15">
        <f t="shared" si="17"/>
        <v>0.22268749999999984</v>
      </c>
      <c r="L302" s="14">
        <v>-64.393000000000001</v>
      </c>
      <c r="M302" s="14">
        <v>65.816000000000003</v>
      </c>
      <c r="N302" s="14">
        <v>18.448</v>
      </c>
      <c r="O302" s="14">
        <v>-39.524000000000001</v>
      </c>
      <c r="P302" s="14">
        <v>29.31</v>
      </c>
      <c r="Q302" s="14">
        <v>10.029999999999999</v>
      </c>
      <c r="R302" s="14">
        <v>0.22500000000000001</v>
      </c>
      <c r="S302" s="15">
        <f t="shared" si="18"/>
        <v>0.22241666666666648</v>
      </c>
      <c r="T302" s="14" t="s">
        <v>26</v>
      </c>
      <c r="U302" s="31" t="e">
        <f t="shared" si="16"/>
        <v>#VALUE!</v>
      </c>
      <c r="V302" s="2"/>
      <c r="W302" s="2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2.75" customHeight="1" x14ac:dyDescent="0.2">
      <c r="A303" s="16"/>
      <c r="B303" s="12" t="s">
        <v>320</v>
      </c>
      <c r="C303" s="13">
        <v>44473.151788541669</v>
      </c>
      <c r="D303" s="14">
        <v>-66.989999999999995</v>
      </c>
      <c r="E303" s="14">
        <v>59.959000000000003</v>
      </c>
      <c r="F303" s="14">
        <v>17.567</v>
      </c>
      <c r="G303" s="14">
        <v>-27.428000000000001</v>
      </c>
      <c r="H303" s="14">
        <v>32.171999999999997</v>
      </c>
      <c r="I303" s="14">
        <v>9.1739999999999995</v>
      </c>
      <c r="J303" s="14">
        <v>0.22500000000000001</v>
      </c>
      <c r="K303" s="15">
        <f t="shared" si="17"/>
        <v>0.22268749999999984</v>
      </c>
      <c r="L303" s="14">
        <v>-67.396000000000001</v>
      </c>
      <c r="M303" s="14">
        <v>77</v>
      </c>
      <c r="N303" s="14">
        <v>17.626000000000001</v>
      </c>
      <c r="O303" s="14">
        <v>-29.76</v>
      </c>
      <c r="P303" s="14">
        <v>33.847999999999999</v>
      </c>
      <c r="Q303" s="14">
        <v>9.2520000000000007</v>
      </c>
      <c r="R303" s="14">
        <v>0.22500000000000001</v>
      </c>
      <c r="S303" s="15">
        <f t="shared" si="18"/>
        <v>0.22241666666666648</v>
      </c>
      <c r="T303" s="14">
        <v>0.49299999999999999</v>
      </c>
      <c r="U303" s="31">
        <f t="shared" si="16"/>
        <v>0.26505376344086018</v>
      </c>
      <c r="V303" s="2"/>
      <c r="W303" s="2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2.75" customHeight="1" x14ac:dyDescent="0.2">
      <c r="A304" s="16"/>
      <c r="B304" s="12" t="s">
        <v>321</v>
      </c>
      <c r="C304" s="13">
        <v>44473.172621817132</v>
      </c>
      <c r="D304" s="14">
        <v>-68.072000000000003</v>
      </c>
      <c r="E304" s="14">
        <v>68.209999999999994</v>
      </c>
      <c r="F304" s="14">
        <v>16.988</v>
      </c>
      <c r="G304" s="14">
        <v>-33.948</v>
      </c>
      <c r="H304" s="14">
        <v>38.607999999999997</v>
      </c>
      <c r="I304" s="14">
        <v>9.3119999999999994</v>
      </c>
      <c r="J304" s="14">
        <v>0.22500000000000001</v>
      </c>
      <c r="K304" s="15">
        <f t="shared" si="17"/>
        <v>0.22268749999999984</v>
      </c>
      <c r="L304" s="14">
        <v>-60.905999999999999</v>
      </c>
      <c r="M304" s="14">
        <v>59.502000000000002</v>
      </c>
      <c r="N304" s="14">
        <v>15.954000000000001</v>
      </c>
      <c r="O304" s="14">
        <v>-33.588000000000001</v>
      </c>
      <c r="P304" s="14">
        <v>27.992000000000001</v>
      </c>
      <c r="Q304" s="14">
        <v>8.7420000000000009</v>
      </c>
      <c r="R304" s="14">
        <v>0.22500000000000001</v>
      </c>
      <c r="S304" s="15">
        <f t="shared" si="18"/>
        <v>0.22241666666666648</v>
      </c>
      <c r="T304" s="14" t="s">
        <v>26</v>
      </c>
      <c r="U304" s="31" t="e">
        <f t="shared" si="16"/>
        <v>#VALUE!</v>
      </c>
      <c r="V304" s="2"/>
      <c r="W304" s="2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2.75" customHeight="1" x14ac:dyDescent="0.2">
      <c r="A305" s="16"/>
      <c r="B305" s="12" t="s">
        <v>322</v>
      </c>
      <c r="C305" s="13">
        <v>44473.193455092594</v>
      </c>
      <c r="D305" s="14">
        <v>-71.311999999999998</v>
      </c>
      <c r="E305" s="14">
        <v>67.77</v>
      </c>
      <c r="F305" s="14">
        <v>16.669</v>
      </c>
      <c r="G305" s="14">
        <v>-34.642000000000003</v>
      </c>
      <c r="H305" s="14">
        <v>33.234999999999999</v>
      </c>
      <c r="I305" s="14">
        <v>9.3260000000000005</v>
      </c>
      <c r="J305" s="14">
        <v>0.22500000000000001</v>
      </c>
      <c r="K305" s="15">
        <f t="shared" si="17"/>
        <v>0.22268749999999984</v>
      </c>
      <c r="L305" s="14">
        <v>-56.615000000000002</v>
      </c>
      <c r="M305" s="14">
        <v>51.058999999999997</v>
      </c>
      <c r="N305" s="14">
        <v>15.38</v>
      </c>
      <c r="O305" s="14">
        <v>-29.718</v>
      </c>
      <c r="P305" s="14">
        <v>27.312999999999999</v>
      </c>
      <c r="Q305" s="14">
        <v>8.5730000000000004</v>
      </c>
      <c r="R305" s="14">
        <v>0.22500000000000001</v>
      </c>
      <c r="S305" s="15">
        <f t="shared" si="18"/>
        <v>0.22241666666666648</v>
      </c>
      <c r="T305" s="14">
        <v>0.52100000000000002</v>
      </c>
      <c r="U305" s="31">
        <f t="shared" si="16"/>
        <v>0.28010752688172041</v>
      </c>
      <c r="V305" s="2"/>
      <c r="W305" s="2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2.75" customHeight="1" x14ac:dyDescent="0.2">
      <c r="A306" s="16"/>
      <c r="B306" s="12" t="s">
        <v>323</v>
      </c>
      <c r="C306" s="13">
        <v>44473.214288368057</v>
      </c>
      <c r="D306" s="14">
        <v>-64.492000000000004</v>
      </c>
      <c r="E306" s="14">
        <v>60.475999999999999</v>
      </c>
      <c r="F306" s="14">
        <v>17.093</v>
      </c>
      <c r="G306" s="14">
        <v>-28.132999999999999</v>
      </c>
      <c r="H306" s="14">
        <v>36.533999999999999</v>
      </c>
      <c r="I306" s="14">
        <v>9.7370000000000001</v>
      </c>
      <c r="J306" s="14">
        <v>0.188</v>
      </c>
      <c r="K306" s="15">
        <f t="shared" si="17"/>
        <v>0.22268749999999984</v>
      </c>
      <c r="L306" s="14">
        <v>-57.042000000000002</v>
      </c>
      <c r="M306" s="14">
        <v>64.117000000000004</v>
      </c>
      <c r="N306" s="14">
        <v>16.579999999999998</v>
      </c>
      <c r="O306" s="14">
        <v>-34.142000000000003</v>
      </c>
      <c r="P306" s="14">
        <v>26.623999999999999</v>
      </c>
      <c r="Q306" s="14">
        <v>9.7810000000000006</v>
      </c>
      <c r="R306" s="14">
        <v>0.17499999999999999</v>
      </c>
      <c r="S306" s="15">
        <f t="shared" si="18"/>
        <v>0.22241666666666648</v>
      </c>
      <c r="T306" s="14" t="s">
        <v>26</v>
      </c>
      <c r="U306" s="31" t="e">
        <f t="shared" si="16"/>
        <v>#VALUE!</v>
      </c>
      <c r="V306" s="2"/>
      <c r="W306" s="2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2.75" customHeight="1" x14ac:dyDescent="0.2">
      <c r="A307" s="16"/>
      <c r="B307" s="12" t="s">
        <v>324</v>
      </c>
      <c r="C307" s="13">
        <v>44473.23512164352</v>
      </c>
      <c r="D307" s="14">
        <v>-62.868000000000002</v>
      </c>
      <c r="E307" s="14">
        <v>61.003</v>
      </c>
      <c r="F307" s="14">
        <v>15.765000000000001</v>
      </c>
      <c r="G307" s="14">
        <v>-30.808</v>
      </c>
      <c r="H307" s="14">
        <v>33.441000000000003</v>
      </c>
      <c r="I307" s="14">
        <v>8.52</v>
      </c>
      <c r="J307" s="14">
        <v>0.22500000000000001</v>
      </c>
      <c r="K307" s="15">
        <f t="shared" si="17"/>
        <v>0.22268749999999984</v>
      </c>
      <c r="L307" s="14">
        <v>-59.917999999999999</v>
      </c>
      <c r="M307" s="14">
        <v>66.765000000000001</v>
      </c>
      <c r="N307" s="14">
        <v>16.062000000000001</v>
      </c>
      <c r="O307" s="14">
        <v>-29.405999999999999</v>
      </c>
      <c r="P307" s="14">
        <v>32.548999999999999</v>
      </c>
      <c r="Q307" s="14">
        <v>8.8230000000000004</v>
      </c>
      <c r="R307" s="14">
        <v>0.22500000000000001</v>
      </c>
      <c r="S307" s="15">
        <f t="shared" si="18"/>
        <v>0.22241666666666648</v>
      </c>
      <c r="T307" s="14">
        <v>0.57299999999999995</v>
      </c>
      <c r="U307" s="31">
        <f t="shared" si="16"/>
        <v>0.30806451612903224</v>
      </c>
      <c r="V307" s="2"/>
      <c r="W307" s="2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2.75" customHeight="1" x14ac:dyDescent="0.2">
      <c r="A308" s="16"/>
      <c r="B308" s="12" t="s">
        <v>325</v>
      </c>
      <c r="C308" s="13">
        <v>44473.255954918983</v>
      </c>
      <c r="D308" s="14">
        <v>-56.017000000000003</v>
      </c>
      <c r="E308" s="14">
        <v>58.424999999999997</v>
      </c>
      <c r="F308" s="14">
        <v>15.797000000000001</v>
      </c>
      <c r="G308" s="14">
        <v>-26.614999999999998</v>
      </c>
      <c r="H308" s="14">
        <v>30.128</v>
      </c>
      <c r="I308" s="14">
        <v>8.5</v>
      </c>
      <c r="J308" s="14">
        <v>0.22500000000000001</v>
      </c>
      <c r="K308" s="15">
        <f t="shared" si="17"/>
        <v>0.22268749999999984</v>
      </c>
      <c r="L308" s="14">
        <v>-59.232999999999997</v>
      </c>
      <c r="M308" s="14">
        <v>59.204999999999998</v>
      </c>
      <c r="N308" s="14">
        <v>15.115</v>
      </c>
      <c r="O308" s="14">
        <v>-26.050999999999998</v>
      </c>
      <c r="P308" s="14">
        <v>31.625</v>
      </c>
      <c r="Q308" s="14">
        <v>8.5090000000000003</v>
      </c>
      <c r="R308" s="14">
        <v>0.188</v>
      </c>
      <c r="S308" s="15">
        <f t="shared" si="18"/>
        <v>0.22241666666666648</v>
      </c>
      <c r="T308" s="14" t="s">
        <v>26</v>
      </c>
      <c r="U308" s="31" t="e">
        <f t="shared" si="16"/>
        <v>#VALUE!</v>
      </c>
      <c r="V308" s="2"/>
      <c r="W308" s="2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2.75" customHeight="1" x14ac:dyDescent="0.2">
      <c r="A309" s="16"/>
      <c r="B309" s="12" t="s">
        <v>326</v>
      </c>
      <c r="C309" s="13">
        <v>44473.276788194446</v>
      </c>
      <c r="D309" s="14">
        <v>-60.392000000000003</v>
      </c>
      <c r="E309" s="14">
        <v>60.887</v>
      </c>
      <c r="F309" s="14">
        <v>15.951000000000001</v>
      </c>
      <c r="G309" s="14">
        <v>-29.308</v>
      </c>
      <c r="H309" s="14">
        <v>28.451000000000001</v>
      </c>
      <c r="I309" s="14">
        <v>8.6080000000000005</v>
      </c>
      <c r="J309" s="14">
        <v>0.188</v>
      </c>
      <c r="K309" s="15">
        <f t="shared" si="17"/>
        <v>0.22268749999999984</v>
      </c>
      <c r="L309" s="14">
        <v>-61.448999999999998</v>
      </c>
      <c r="M309" s="14">
        <v>60.908999999999999</v>
      </c>
      <c r="N309" s="14">
        <v>15.62</v>
      </c>
      <c r="O309" s="14">
        <v>-25.956</v>
      </c>
      <c r="P309" s="14">
        <v>30.122</v>
      </c>
      <c r="Q309" s="14">
        <v>8.3520000000000003</v>
      </c>
      <c r="R309" s="14">
        <v>0.22500000000000001</v>
      </c>
      <c r="S309" s="15">
        <f t="shared" si="18"/>
        <v>0.22241666666666648</v>
      </c>
      <c r="T309" s="14">
        <v>0.55800000000000005</v>
      </c>
      <c r="U309" s="31">
        <f t="shared" si="16"/>
        <v>0.3</v>
      </c>
      <c r="V309" s="2"/>
      <c r="W309" s="2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2.75" customHeight="1" x14ac:dyDescent="0.2">
      <c r="A310" s="16"/>
      <c r="B310" s="12" t="s">
        <v>327</v>
      </c>
      <c r="C310" s="13">
        <v>44473.297621469908</v>
      </c>
      <c r="D310" s="14">
        <v>-69.736000000000004</v>
      </c>
      <c r="E310" s="14">
        <v>63.331000000000003</v>
      </c>
      <c r="F310" s="14">
        <v>16.332999999999998</v>
      </c>
      <c r="G310" s="14">
        <v>-31.997</v>
      </c>
      <c r="H310" s="14">
        <v>33.701000000000001</v>
      </c>
      <c r="I310" s="14">
        <v>8.5839999999999996</v>
      </c>
      <c r="J310" s="14">
        <v>0.22500000000000001</v>
      </c>
      <c r="K310" s="15">
        <f t="shared" si="17"/>
        <v>0.22268749999999984</v>
      </c>
      <c r="L310" s="14">
        <v>-58.347999999999999</v>
      </c>
      <c r="M310" s="14">
        <v>61.281999999999996</v>
      </c>
      <c r="N310" s="14">
        <v>16.09</v>
      </c>
      <c r="O310" s="14">
        <v>-33.158000000000001</v>
      </c>
      <c r="P310" s="14">
        <v>30.123000000000001</v>
      </c>
      <c r="Q310" s="14">
        <v>8.7270000000000003</v>
      </c>
      <c r="R310" s="14">
        <v>0.188</v>
      </c>
      <c r="S310" s="15">
        <f t="shared" si="18"/>
        <v>0.22241666666666648</v>
      </c>
      <c r="T310" s="14" t="s">
        <v>26</v>
      </c>
      <c r="U310" s="31" t="e">
        <f t="shared" si="16"/>
        <v>#VALUE!</v>
      </c>
      <c r="V310" s="2"/>
      <c r="W310" s="2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2.75" customHeight="1" x14ac:dyDescent="0.2">
      <c r="A311" s="16"/>
      <c r="B311" s="12" t="s">
        <v>328</v>
      </c>
      <c r="C311" s="13">
        <v>44473.318454745371</v>
      </c>
      <c r="D311" s="14">
        <v>-61.795000000000002</v>
      </c>
      <c r="E311" s="14">
        <v>66.320999999999998</v>
      </c>
      <c r="F311" s="14">
        <v>15.752000000000001</v>
      </c>
      <c r="G311" s="14">
        <v>-32.774000000000001</v>
      </c>
      <c r="H311" s="14">
        <v>26.641999999999999</v>
      </c>
      <c r="I311" s="14">
        <v>8.3770000000000007</v>
      </c>
      <c r="J311" s="14">
        <v>0.22500000000000001</v>
      </c>
      <c r="K311" s="15">
        <f t="shared" si="17"/>
        <v>0.22268749999999984</v>
      </c>
      <c r="L311" s="14">
        <v>-68.3</v>
      </c>
      <c r="M311" s="14">
        <v>69.042000000000002</v>
      </c>
      <c r="N311" s="14">
        <v>16.373000000000001</v>
      </c>
      <c r="O311" s="14">
        <v>-32.543999999999997</v>
      </c>
      <c r="P311" s="14">
        <v>33.24</v>
      </c>
      <c r="Q311" s="14">
        <v>8.7810000000000006</v>
      </c>
      <c r="R311" s="14">
        <v>0.22500000000000001</v>
      </c>
      <c r="S311" s="15">
        <f t="shared" si="18"/>
        <v>0.22241666666666648</v>
      </c>
      <c r="T311" s="14">
        <v>0.50900000000000001</v>
      </c>
      <c r="U311" s="31">
        <f t="shared" si="16"/>
        <v>0.27365591397849459</v>
      </c>
      <c r="V311" s="2"/>
      <c r="W311" s="2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2.75" customHeight="1" x14ac:dyDescent="0.2">
      <c r="A312" s="16"/>
      <c r="B312" s="12" t="s">
        <v>329</v>
      </c>
      <c r="C312" s="13">
        <v>44473.339288020834</v>
      </c>
      <c r="D312" s="14">
        <v>-62.753</v>
      </c>
      <c r="E312" s="14">
        <v>64.852000000000004</v>
      </c>
      <c r="F312" s="14">
        <v>16.068000000000001</v>
      </c>
      <c r="G312" s="14">
        <v>-33.228000000000002</v>
      </c>
      <c r="H312" s="14">
        <v>29.631</v>
      </c>
      <c r="I312" s="14">
        <v>8.577</v>
      </c>
      <c r="J312" s="14">
        <v>0.22500000000000001</v>
      </c>
      <c r="K312" s="15">
        <f t="shared" si="17"/>
        <v>0.22268749999999984</v>
      </c>
      <c r="L312" s="14">
        <v>-62.402000000000001</v>
      </c>
      <c r="M312" s="14">
        <v>63.43</v>
      </c>
      <c r="N312" s="14">
        <v>16.206</v>
      </c>
      <c r="O312" s="14">
        <v>-32.756999999999998</v>
      </c>
      <c r="P312" s="14">
        <v>27.879000000000001</v>
      </c>
      <c r="Q312" s="14">
        <v>8.5950000000000006</v>
      </c>
      <c r="R312" s="14">
        <v>0.22500000000000001</v>
      </c>
      <c r="S312" s="15">
        <f t="shared" si="18"/>
        <v>0.22241666666666648</v>
      </c>
      <c r="T312" s="14" t="s">
        <v>26</v>
      </c>
      <c r="U312" s="31" t="e">
        <f t="shared" si="16"/>
        <v>#VALUE!</v>
      </c>
      <c r="V312" s="2"/>
      <c r="W312" s="2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2.75" customHeight="1" x14ac:dyDescent="0.2">
      <c r="A313" s="16"/>
      <c r="B313" s="12" t="s">
        <v>330</v>
      </c>
      <c r="C313" s="13">
        <v>44473.360121296297</v>
      </c>
      <c r="D313" s="14">
        <v>-60.253999999999998</v>
      </c>
      <c r="E313" s="14">
        <v>56.417000000000002</v>
      </c>
      <c r="F313" s="14">
        <v>16.079000000000001</v>
      </c>
      <c r="G313" s="14">
        <v>-33.359000000000002</v>
      </c>
      <c r="H313" s="14">
        <v>23.515999999999998</v>
      </c>
      <c r="I313" s="14">
        <v>8.5350000000000001</v>
      </c>
      <c r="J313" s="14">
        <v>0.22500000000000001</v>
      </c>
      <c r="K313" s="15">
        <f t="shared" si="17"/>
        <v>0.22268749999999984</v>
      </c>
      <c r="L313" s="14">
        <v>-54.679000000000002</v>
      </c>
      <c r="M313" s="14">
        <v>57.692999999999998</v>
      </c>
      <c r="N313" s="14">
        <v>15.465999999999999</v>
      </c>
      <c r="O313" s="14">
        <v>-27.699000000000002</v>
      </c>
      <c r="P313" s="14">
        <v>33.042999999999999</v>
      </c>
      <c r="Q313" s="14">
        <v>8.0990000000000002</v>
      </c>
      <c r="R313" s="14">
        <v>0.22500000000000001</v>
      </c>
      <c r="S313" s="15">
        <f t="shared" si="18"/>
        <v>0.22241666666666648</v>
      </c>
      <c r="T313" s="14">
        <v>0.55400000000000005</v>
      </c>
      <c r="U313" s="31">
        <f t="shared" si="16"/>
        <v>0.2978494623655914</v>
      </c>
      <c r="V313" s="2"/>
      <c r="W313" s="2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2.75" customHeight="1" x14ac:dyDescent="0.2">
      <c r="A314" s="16"/>
      <c r="B314" s="12" t="s">
        <v>331</v>
      </c>
      <c r="C314" s="13">
        <v>44473.38095457176</v>
      </c>
      <c r="D314" s="14">
        <v>-63.527000000000001</v>
      </c>
      <c r="E314" s="14">
        <v>67.263999999999996</v>
      </c>
      <c r="F314" s="14">
        <v>15.629</v>
      </c>
      <c r="G314" s="14">
        <v>-31.628</v>
      </c>
      <c r="H314" s="14">
        <v>29.585000000000001</v>
      </c>
      <c r="I314" s="14">
        <v>8.2360000000000007</v>
      </c>
      <c r="J314" s="14">
        <v>0.22500000000000001</v>
      </c>
      <c r="K314" s="15">
        <f t="shared" si="17"/>
        <v>0.22268749999999984</v>
      </c>
      <c r="L314" s="14">
        <v>-62.802999999999997</v>
      </c>
      <c r="M314" s="14">
        <v>66.650999999999996</v>
      </c>
      <c r="N314" s="14">
        <v>16.343</v>
      </c>
      <c r="O314" s="14">
        <v>-31.399000000000001</v>
      </c>
      <c r="P314" s="14">
        <v>32.174999999999997</v>
      </c>
      <c r="Q314" s="14">
        <v>8.6379999999999999</v>
      </c>
      <c r="R314" s="14">
        <v>0.22500000000000001</v>
      </c>
      <c r="S314" s="15">
        <f t="shared" si="18"/>
        <v>0.22241666666666648</v>
      </c>
      <c r="T314" s="14" t="s">
        <v>26</v>
      </c>
      <c r="U314" s="31" t="e">
        <f t="shared" si="16"/>
        <v>#VALUE!</v>
      </c>
      <c r="V314" s="2"/>
      <c r="W314" s="2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2.75" customHeight="1" x14ac:dyDescent="0.2">
      <c r="A315" s="16"/>
      <c r="B315" s="12" t="s">
        <v>332</v>
      </c>
      <c r="C315" s="13">
        <v>44473.401787847222</v>
      </c>
      <c r="D315" s="14">
        <v>-77.466999999999999</v>
      </c>
      <c r="E315" s="14">
        <v>63.344000000000001</v>
      </c>
      <c r="F315" s="14">
        <v>15.676</v>
      </c>
      <c r="G315" s="14">
        <v>-26.913</v>
      </c>
      <c r="H315" s="14">
        <v>45.423000000000002</v>
      </c>
      <c r="I315" s="14">
        <v>8.06</v>
      </c>
      <c r="J315" s="14">
        <v>0.22500000000000001</v>
      </c>
      <c r="K315" s="15">
        <f t="shared" si="17"/>
        <v>0.22268749999999984</v>
      </c>
      <c r="L315" s="14">
        <v>-54.308</v>
      </c>
      <c r="M315" s="14">
        <v>59.280999999999999</v>
      </c>
      <c r="N315" s="14">
        <v>15.756</v>
      </c>
      <c r="O315" s="14">
        <v>-31.827000000000002</v>
      </c>
      <c r="P315" s="14">
        <v>21.238</v>
      </c>
      <c r="Q315" s="14">
        <v>7.915</v>
      </c>
      <c r="R315" s="14">
        <v>0.22500000000000001</v>
      </c>
      <c r="S315" s="15">
        <f t="shared" si="18"/>
        <v>0.22241666666666648</v>
      </c>
      <c r="T315" s="14">
        <v>0.63300000000000001</v>
      </c>
      <c r="U315" s="31">
        <f t="shared" si="16"/>
        <v>0.3403225806451613</v>
      </c>
      <c r="V315" s="2"/>
      <c r="W315" s="2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2.75" customHeight="1" x14ac:dyDescent="0.2">
      <c r="A316" s="16"/>
      <c r="B316" s="12" t="s">
        <v>333</v>
      </c>
      <c r="C316" s="13">
        <v>44473.422621122685</v>
      </c>
      <c r="D316" s="14">
        <v>-61.14</v>
      </c>
      <c r="E316" s="14">
        <v>50.866</v>
      </c>
      <c r="F316" s="14">
        <v>15.117000000000001</v>
      </c>
      <c r="G316" s="14">
        <v>-32.081000000000003</v>
      </c>
      <c r="H316" s="14">
        <v>19.972000000000001</v>
      </c>
      <c r="I316" s="14">
        <v>8.1210000000000004</v>
      </c>
      <c r="J316" s="14">
        <v>0.22500000000000001</v>
      </c>
      <c r="K316" s="15">
        <f t="shared" si="17"/>
        <v>0.22268749999999984</v>
      </c>
      <c r="L316" s="14">
        <v>-57.207000000000001</v>
      </c>
      <c r="M316" s="14">
        <v>56.302</v>
      </c>
      <c r="N316" s="14">
        <v>16.021000000000001</v>
      </c>
      <c r="O316" s="14">
        <v>-25.431999999999999</v>
      </c>
      <c r="P316" s="14">
        <v>27.564</v>
      </c>
      <c r="Q316" s="14">
        <v>8.2959999999999994</v>
      </c>
      <c r="R316" s="14">
        <v>0.22500000000000001</v>
      </c>
      <c r="S316" s="15">
        <f t="shared" si="18"/>
        <v>0.22241666666666648</v>
      </c>
      <c r="T316" s="14" t="s">
        <v>26</v>
      </c>
      <c r="U316" s="31" t="e">
        <f t="shared" si="16"/>
        <v>#VALUE!</v>
      </c>
      <c r="V316" s="2"/>
      <c r="W316" s="2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2.75" customHeight="1" x14ac:dyDescent="0.2">
      <c r="A317" s="16"/>
      <c r="B317" s="12" t="s">
        <v>334</v>
      </c>
      <c r="C317" s="13">
        <v>44473.443454398148</v>
      </c>
      <c r="D317" s="14">
        <v>-55.686</v>
      </c>
      <c r="E317" s="14">
        <v>56.923999999999999</v>
      </c>
      <c r="F317" s="14">
        <v>15.648999999999999</v>
      </c>
      <c r="G317" s="14">
        <v>-28.928000000000001</v>
      </c>
      <c r="H317" s="14">
        <v>24.533999999999999</v>
      </c>
      <c r="I317" s="14">
        <v>8.0869999999999997</v>
      </c>
      <c r="J317" s="14">
        <v>0.22500000000000001</v>
      </c>
      <c r="K317" s="15">
        <f t="shared" si="17"/>
        <v>0.22268749999999984</v>
      </c>
      <c r="L317" s="14">
        <v>-55.847000000000001</v>
      </c>
      <c r="M317" s="14">
        <v>66.427999999999997</v>
      </c>
      <c r="N317" s="14">
        <v>16.363</v>
      </c>
      <c r="O317" s="14">
        <v>-28.041</v>
      </c>
      <c r="P317" s="14">
        <v>31.524999999999999</v>
      </c>
      <c r="Q317" s="14">
        <v>8.5519999999999996</v>
      </c>
      <c r="R317" s="14">
        <v>0.22500000000000001</v>
      </c>
      <c r="S317" s="15">
        <f t="shared" si="18"/>
        <v>0.22241666666666648</v>
      </c>
      <c r="T317" s="14">
        <v>0.54300000000000004</v>
      </c>
      <c r="U317" s="31">
        <f t="shared" si="16"/>
        <v>0.29193548387096774</v>
      </c>
      <c r="V317" s="2"/>
      <c r="W317" s="2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2.75" customHeight="1" x14ac:dyDescent="0.2">
      <c r="A318" s="16"/>
      <c r="B318" s="12" t="s">
        <v>335</v>
      </c>
      <c r="C318" s="13">
        <v>44473.464287673611</v>
      </c>
      <c r="D318" s="14">
        <v>-59.323999999999998</v>
      </c>
      <c r="E318" s="14">
        <v>53.649000000000001</v>
      </c>
      <c r="F318" s="14">
        <v>15.512</v>
      </c>
      <c r="G318" s="14">
        <v>-33.439</v>
      </c>
      <c r="H318" s="14">
        <v>29.759</v>
      </c>
      <c r="I318" s="14">
        <v>8.1920000000000002</v>
      </c>
      <c r="J318" s="14">
        <v>0.22500000000000001</v>
      </c>
      <c r="K318" s="15">
        <f t="shared" si="17"/>
        <v>0.22268749999999984</v>
      </c>
      <c r="L318" s="14">
        <v>-60.472000000000001</v>
      </c>
      <c r="M318" s="14">
        <v>59.322000000000003</v>
      </c>
      <c r="N318" s="14">
        <v>15.89</v>
      </c>
      <c r="O318" s="14">
        <v>-26.411000000000001</v>
      </c>
      <c r="P318" s="14">
        <v>33.494</v>
      </c>
      <c r="Q318" s="14">
        <v>8.3840000000000003</v>
      </c>
      <c r="R318" s="14">
        <v>0.22500000000000001</v>
      </c>
      <c r="S318" s="15">
        <f t="shared" si="18"/>
        <v>0.22241666666666648</v>
      </c>
      <c r="T318" s="14" t="s">
        <v>26</v>
      </c>
      <c r="U318" s="31" t="e">
        <f t="shared" si="16"/>
        <v>#VALUE!</v>
      </c>
      <c r="V318" s="2"/>
      <c r="W318" s="2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2.75" customHeight="1" x14ac:dyDescent="0.2">
      <c r="A319" s="16"/>
      <c r="B319" s="12" t="s">
        <v>336</v>
      </c>
      <c r="C319" s="13">
        <v>44473.485120949073</v>
      </c>
      <c r="D319" s="14">
        <v>-56.98</v>
      </c>
      <c r="E319" s="14">
        <v>54.57</v>
      </c>
      <c r="F319" s="14">
        <v>14.531000000000001</v>
      </c>
      <c r="G319" s="14">
        <v>-25.809000000000001</v>
      </c>
      <c r="H319" s="14">
        <v>30.315000000000001</v>
      </c>
      <c r="I319" s="14">
        <v>7.6219999999999999</v>
      </c>
      <c r="J319" s="14">
        <v>0.22500000000000001</v>
      </c>
      <c r="K319" s="15">
        <f t="shared" si="17"/>
        <v>0.22268749999999984</v>
      </c>
      <c r="L319" s="14">
        <v>-53.168999999999997</v>
      </c>
      <c r="M319" s="14">
        <v>50.427999999999997</v>
      </c>
      <c r="N319" s="14">
        <v>15.129</v>
      </c>
      <c r="O319" s="14">
        <v>-22.148</v>
      </c>
      <c r="P319" s="14">
        <v>26.96</v>
      </c>
      <c r="Q319" s="14">
        <v>7.7949999999999999</v>
      </c>
      <c r="R319" s="14">
        <v>0.22500000000000001</v>
      </c>
      <c r="S319" s="15">
        <f t="shared" si="18"/>
        <v>0.22241666666666648</v>
      </c>
      <c r="T319" s="14">
        <v>1.3280000000000001</v>
      </c>
      <c r="U319" s="31">
        <f t="shared" si="16"/>
        <v>0.71397849462365592</v>
      </c>
      <c r="V319" s="2"/>
      <c r="W319" s="2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2.75" customHeight="1" x14ac:dyDescent="0.2">
      <c r="A320" s="16"/>
      <c r="B320" s="12" t="s">
        <v>337</v>
      </c>
      <c r="C320" s="13">
        <v>44473.505954224536</v>
      </c>
      <c r="D320" s="14">
        <v>-52.186999999999998</v>
      </c>
      <c r="E320" s="14">
        <v>46.834000000000003</v>
      </c>
      <c r="F320" s="14">
        <v>14.313000000000001</v>
      </c>
      <c r="G320" s="14">
        <v>-25.308</v>
      </c>
      <c r="H320" s="14">
        <v>23.113</v>
      </c>
      <c r="I320" s="14">
        <v>7.37</v>
      </c>
      <c r="J320" s="14">
        <v>0.22500000000000001</v>
      </c>
      <c r="K320" s="15">
        <f t="shared" si="17"/>
        <v>0.22268749999999984</v>
      </c>
      <c r="L320" s="14">
        <v>-56.570999999999998</v>
      </c>
      <c r="M320" s="14">
        <v>56.48</v>
      </c>
      <c r="N320" s="14">
        <v>14.516</v>
      </c>
      <c r="O320" s="14">
        <v>-21.806999999999999</v>
      </c>
      <c r="P320" s="14">
        <v>28.376000000000001</v>
      </c>
      <c r="Q320" s="14">
        <v>7.4640000000000004</v>
      </c>
      <c r="R320" s="14">
        <v>0.22500000000000001</v>
      </c>
      <c r="S320" s="15">
        <f t="shared" si="18"/>
        <v>0.22241666666666648</v>
      </c>
      <c r="T320" s="14" t="s">
        <v>26</v>
      </c>
      <c r="U320" s="31" t="e">
        <f t="shared" si="16"/>
        <v>#VALUE!</v>
      </c>
      <c r="V320" s="2"/>
      <c r="W320" s="2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2.75" customHeight="1" x14ac:dyDescent="0.2">
      <c r="A321" s="16"/>
      <c r="B321" s="12" t="s">
        <v>338</v>
      </c>
      <c r="C321" s="13">
        <v>44473.526787499999</v>
      </c>
      <c r="D321" s="14">
        <v>-48.298000000000002</v>
      </c>
      <c r="E321" s="14">
        <v>46.015999999999998</v>
      </c>
      <c r="F321" s="14">
        <v>13.391</v>
      </c>
      <c r="G321" s="14">
        <v>-20.681999999999999</v>
      </c>
      <c r="H321" s="14">
        <v>29.399000000000001</v>
      </c>
      <c r="I321" s="14">
        <v>6.8869999999999996</v>
      </c>
      <c r="J321" s="14">
        <v>0.22500000000000001</v>
      </c>
      <c r="K321" s="15">
        <f t="shared" si="17"/>
        <v>0.22268749999999984</v>
      </c>
      <c r="L321" s="14">
        <v>-58.284999999999997</v>
      </c>
      <c r="M321" s="14">
        <v>52.338000000000001</v>
      </c>
      <c r="N321" s="14">
        <v>13.5</v>
      </c>
      <c r="O321" s="14">
        <v>-28.766999999999999</v>
      </c>
      <c r="P321" s="14">
        <v>23.974</v>
      </c>
      <c r="Q321" s="14">
        <v>6.7210000000000001</v>
      </c>
      <c r="R321" s="14">
        <v>0.22500000000000001</v>
      </c>
      <c r="S321" s="15">
        <f t="shared" si="18"/>
        <v>0.22241666666666648</v>
      </c>
      <c r="T321" s="14">
        <v>0.52</v>
      </c>
      <c r="U321" s="31">
        <f t="shared" si="16"/>
        <v>0.27956989247311825</v>
      </c>
      <c r="V321" s="2"/>
      <c r="W321" s="2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2.75" customHeight="1" x14ac:dyDescent="0.2">
      <c r="A322" s="16"/>
      <c r="B322" s="12" t="s">
        <v>339</v>
      </c>
      <c r="C322" s="13">
        <v>44473.547620775462</v>
      </c>
      <c r="D322" s="14">
        <v>-49.48</v>
      </c>
      <c r="E322" s="14">
        <v>46.42</v>
      </c>
      <c r="F322" s="14">
        <v>13.837</v>
      </c>
      <c r="G322" s="14">
        <v>-27.553999999999998</v>
      </c>
      <c r="H322" s="14">
        <v>23.263999999999999</v>
      </c>
      <c r="I322" s="14">
        <v>7.085</v>
      </c>
      <c r="J322" s="14">
        <v>0.22500000000000001</v>
      </c>
      <c r="K322" s="15">
        <f t="shared" si="17"/>
        <v>0.22268749999999984</v>
      </c>
      <c r="L322" s="14">
        <v>-45.896000000000001</v>
      </c>
      <c r="M322" s="14">
        <v>53.286999999999999</v>
      </c>
      <c r="N322" s="14">
        <v>14.257999999999999</v>
      </c>
      <c r="O322" s="14">
        <v>-24.09</v>
      </c>
      <c r="P322" s="14">
        <v>23.163</v>
      </c>
      <c r="Q322" s="14">
        <v>7.17</v>
      </c>
      <c r="R322" s="14">
        <v>0.22500000000000001</v>
      </c>
      <c r="S322" s="15">
        <f t="shared" si="18"/>
        <v>0.22241666666666648</v>
      </c>
      <c r="T322" s="14" t="s">
        <v>26</v>
      </c>
      <c r="U322" s="31" t="e">
        <f t="shared" si="16"/>
        <v>#VALUE!</v>
      </c>
      <c r="V322" s="2"/>
      <c r="W322" s="2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2.75" customHeight="1" x14ac:dyDescent="0.2">
      <c r="A323" s="16"/>
      <c r="B323" s="12" t="s">
        <v>340</v>
      </c>
      <c r="C323" s="13">
        <v>44473.568454050925</v>
      </c>
      <c r="D323" s="14">
        <v>-51.808999999999997</v>
      </c>
      <c r="E323" s="14">
        <v>52.052999999999997</v>
      </c>
      <c r="F323" s="14">
        <v>13.500999999999999</v>
      </c>
      <c r="G323" s="14">
        <v>-21.952000000000002</v>
      </c>
      <c r="H323" s="14">
        <v>29.007999999999999</v>
      </c>
      <c r="I323" s="14">
        <v>6.9729999999999999</v>
      </c>
      <c r="J323" s="14">
        <v>0.22500000000000001</v>
      </c>
      <c r="K323" s="15">
        <f t="shared" si="17"/>
        <v>0.22268749999999984</v>
      </c>
      <c r="L323" s="14">
        <v>-50.877000000000002</v>
      </c>
      <c r="M323" s="14">
        <v>54.386000000000003</v>
      </c>
      <c r="N323" s="14">
        <v>13.494999999999999</v>
      </c>
      <c r="O323" s="14">
        <v>-24.084</v>
      </c>
      <c r="P323" s="14">
        <v>25.013999999999999</v>
      </c>
      <c r="Q323" s="14">
        <v>6.742</v>
      </c>
      <c r="R323" s="14">
        <v>0.22500000000000001</v>
      </c>
      <c r="S323" s="15">
        <f t="shared" si="18"/>
        <v>0.22241666666666648</v>
      </c>
      <c r="T323" s="14">
        <v>0.53200000000000003</v>
      </c>
      <c r="U323" s="31">
        <f t="shared" si="16"/>
        <v>0.28602150537634408</v>
      </c>
      <c r="V323" s="2"/>
      <c r="W323" s="2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2.75" customHeight="1" x14ac:dyDescent="0.2">
      <c r="A324" s="16"/>
      <c r="B324" s="12" t="s">
        <v>341</v>
      </c>
      <c r="C324" s="13">
        <v>44473.589287326387</v>
      </c>
      <c r="D324" s="14">
        <v>-54.231999999999999</v>
      </c>
      <c r="E324" s="14">
        <v>54.1</v>
      </c>
      <c r="F324" s="14">
        <v>13.5</v>
      </c>
      <c r="G324" s="14">
        <v>-28.539000000000001</v>
      </c>
      <c r="H324" s="14">
        <v>20.329999999999998</v>
      </c>
      <c r="I324" s="14">
        <v>6.9450000000000003</v>
      </c>
      <c r="J324" s="14">
        <v>0.22500000000000001</v>
      </c>
      <c r="K324" s="15">
        <f t="shared" si="17"/>
        <v>0.22268749999999984</v>
      </c>
      <c r="L324" s="14">
        <v>-56.377000000000002</v>
      </c>
      <c r="M324" s="14">
        <v>49.558</v>
      </c>
      <c r="N324" s="14">
        <v>13.718999999999999</v>
      </c>
      <c r="O324" s="14">
        <v>-27.358000000000001</v>
      </c>
      <c r="P324" s="14">
        <v>23.989000000000001</v>
      </c>
      <c r="Q324" s="14">
        <v>7.11</v>
      </c>
      <c r="R324" s="14">
        <v>0.22500000000000001</v>
      </c>
      <c r="S324" s="15">
        <f t="shared" si="18"/>
        <v>0.22241666666666648</v>
      </c>
      <c r="T324" s="14" t="s">
        <v>26</v>
      </c>
      <c r="U324" s="31" t="e">
        <f t="shared" si="16"/>
        <v>#VALUE!</v>
      </c>
      <c r="V324" s="2"/>
      <c r="W324" s="2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2.75" customHeight="1" x14ac:dyDescent="0.2">
      <c r="A325" s="16"/>
      <c r="B325" s="12" t="s">
        <v>342</v>
      </c>
      <c r="C325" s="13">
        <v>44473.61012060185</v>
      </c>
      <c r="D325" s="14">
        <v>-57.234999999999999</v>
      </c>
      <c r="E325" s="14">
        <v>44.442999999999998</v>
      </c>
      <c r="F325" s="14">
        <v>12.739000000000001</v>
      </c>
      <c r="G325" s="14">
        <v>-23.989000000000001</v>
      </c>
      <c r="H325" s="14">
        <v>25.478999999999999</v>
      </c>
      <c r="I325" s="14">
        <v>6.2370000000000001</v>
      </c>
      <c r="J325" s="14">
        <v>0.22500000000000001</v>
      </c>
      <c r="K325" s="15">
        <f t="shared" si="17"/>
        <v>0.22268749999999984</v>
      </c>
      <c r="L325" s="14">
        <v>-42.207999999999998</v>
      </c>
      <c r="M325" s="14">
        <v>43.552999999999997</v>
      </c>
      <c r="N325" s="14">
        <v>12.557</v>
      </c>
      <c r="O325" s="14">
        <v>-19.734999999999999</v>
      </c>
      <c r="P325" s="14">
        <v>22.972999999999999</v>
      </c>
      <c r="Q325" s="14">
        <v>6.2089999999999996</v>
      </c>
      <c r="R325" s="14">
        <v>0.22500000000000001</v>
      </c>
      <c r="S325" s="15">
        <f t="shared" si="18"/>
        <v>0.22241666666666648</v>
      </c>
      <c r="T325" s="14">
        <v>0.52500000000000002</v>
      </c>
      <c r="U325" s="31">
        <f t="shared" si="16"/>
        <v>0.282258064516129</v>
      </c>
      <c r="V325" s="2"/>
      <c r="W325" s="2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2.75" customHeight="1" x14ac:dyDescent="0.2">
      <c r="A326" s="16"/>
      <c r="B326" s="12" t="s">
        <v>343</v>
      </c>
      <c r="C326" s="13">
        <v>44473.630953877313</v>
      </c>
      <c r="D326" s="14">
        <v>-47.960999999999999</v>
      </c>
      <c r="E326" s="14">
        <v>42.554000000000002</v>
      </c>
      <c r="F326" s="14">
        <v>11.89</v>
      </c>
      <c r="G326" s="14">
        <v>-22.018000000000001</v>
      </c>
      <c r="H326" s="14">
        <v>18.448</v>
      </c>
      <c r="I326" s="14">
        <v>5.8579999999999997</v>
      </c>
      <c r="J326" s="14">
        <v>0.22500000000000001</v>
      </c>
      <c r="K326" s="15">
        <f t="shared" si="17"/>
        <v>0.22268749999999984</v>
      </c>
      <c r="L326" s="14">
        <v>-41.966999999999999</v>
      </c>
      <c r="M326" s="14">
        <v>44.097999999999999</v>
      </c>
      <c r="N326" s="14">
        <v>12.042</v>
      </c>
      <c r="O326" s="14">
        <v>-17.350000000000001</v>
      </c>
      <c r="P326" s="14">
        <v>22.274000000000001</v>
      </c>
      <c r="Q326" s="14">
        <v>6.0270000000000001</v>
      </c>
      <c r="R326" s="14">
        <v>0.22500000000000001</v>
      </c>
      <c r="S326" s="15">
        <f t="shared" si="18"/>
        <v>0.22241666666666648</v>
      </c>
      <c r="T326" s="14" t="s">
        <v>26</v>
      </c>
      <c r="U326" s="31" t="e">
        <f t="shared" si="16"/>
        <v>#VALUE!</v>
      </c>
      <c r="V326" s="2"/>
      <c r="W326" s="2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2.75" customHeight="1" x14ac:dyDescent="0.2">
      <c r="A327" s="16"/>
      <c r="B327" s="12" t="s">
        <v>344</v>
      </c>
      <c r="C327" s="13">
        <v>44473.651787152776</v>
      </c>
      <c r="D327" s="14">
        <v>-43.317999999999998</v>
      </c>
      <c r="E327" s="14">
        <v>50.487000000000002</v>
      </c>
      <c r="F327" s="14">
        <v>12.37</v>
      </c>
      <c r="G327" s="14">
        <v>-22.991</v>
      </c>
      <c r="H327" s="14">
        <v>23.748999999999999</v>
      </c>
      <c r="I327" s="14">
        <v>6.32</v>
      </c>
      <c r="J327" s="14">
        <v>0.2</v>
      </c>
      <c r="K327" s="15">
        <f t="shared" si="17"/>
        <v>0.22268749999999984</v>
      </c>
      <c r="L327" s="14">
        <v>-50.43</v>
      </c>
      <c r="M327" s="14">
        <v>43.926000000000002</v>
      </c>
      <c r="N327" s="14">
        <v>11.91</v>
      </c>
      <c r="O327" s="14">
        <v>-22.57</v>
      </c>
      <c r="P327" s="14">
        <v>22.834</v>
      </c>
      <c r="Q327" s="14">
        <v>5.907</v>
      </c>
      <c r="R327" s="14">
        <v>0.22500000000000001</v>
      </c>
      <c r="S327" s="15">
        <f t="shared" si="18"/>
        <v>0.22241666666666648</v>
      </c>
      <c r="T327" s="14">
        <v>0.54500000000000004</v>
      </c>
      <c r="U327" s="31">
        <f t="shared" si="16"/>
        <v>0.29301075268817206</v>
      </c>
      <c r="V327" s="2"/>
      <c r="W327" s="2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2.75" customHeight="1" x14ac:dyDescent="0.2">
      <c r="A328" s="16"/>
      <c r="B328" s="12" t="s">
        <v>345</v>
      </c>
      <c r="C328" s="13">
        <v>44473.672620428239</v>
      </c>
      <c r="D328" s="14">
        <v>-47.189</v>
      </c>
      <c r="E328" s="14">
        <v>48.926000000000002</v>
      </c>
      <c r="F328" s="14">
        <v>12.641</v>
      </c>
      <c r="G328" s="14">
        <v>-23.132999999999999</v>
      </c>
      <c r="H328" s="14">
        <v>21.071000000000002</v>
      </c>
      <c r="I328" s="14">
        <v>6.3470000000000004</v>
      </c>
      <c r="J328" s="14">
        <v>0.21299999999999999</v>
      </c>
      <c r="K328" s="15">
        <f t="shared" si="17"/>
        <v>0.22268749999999984</v>
      </c>
      <c r="L328" s="14">
        <v>-44.542000000000002</v>
      </c>
      <c r="M328" s="14">
        <v>47.55</v>
      </c>
      <c r="N328" s="14">
        <v>12.254</v>
      </c>
      <c r="O328" s="14">
        <v>-19.288</v>
      </c>
      <c r="P328" s="14">
        <v>25.367999999999999</v>
      </c>
      <c r="Q328" s="14">
        <v>6.1710000000000003</v>
      </c>
      <c r="R328" s="14">
        <v>0.22500000000000001</v>
      </c>
      <c r="S328" s="15">
        <f t="shared" si="18"/>
        <v>0.22241666666666648</v>
      </c>
      <c r="T328" s="14" t="s">
        <v>26</v>
      </c>
      <c r="U328" s="31" t="e">
        <f t="shared" si="16"/>
        <v>#VALUE!</v>
      </c>
      <c r="V328" s="2"/>
      <c r="W328" s="2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2.75" customHeight="1" x14ac:dyDescent="0.2">
      <c r="A329" s="16"/>
      <c r="B329" s="12" t="s">
        <v>346</v>
      </c>
      <c r="C329" s="13">
        <v>44473.693453703701</v>
      </c>
      <c r="D329" s="14">
        <v>-52.447000000000003</v>
      </c>
      <c r="E329" s="14">
        <v>45.325000000000003</v>
      </c>
      <c r="F329" s="14">
        <v>12.474</v>
      </c>
      <c r="G329" s="14">
        <v>-21.113</v>
      </c>
      <c r="H329" s="14">
        <v>23.248000000000001</v>
      </c>
      <c r="I329" s="14">
        <v>5.91</v>
      </c>
      <c r="J329" s="14">
        <v>0.22500000000000001</v>
      </c>
      <c r="K329" s="15">
        <f t="shared" si="17"/>
        <v>0.22268749999999984</v>
      </c>
      <c r="L329" s="14">
        <v>-46.475999999999999</v>
      </c>
      <c r="M329" s="14">
        <v>46.671999999999997</v>
      </c>
      <c r="N329" s="14">
        <v>12.438000000000001</v>
      </c>
      <c r="O329" s="14">
        <v>-22.824000000000002</v>
      </c>
      <c r="P329" s="14">
        <v>21.616</v>
      </c>
      <c r="Q329" s="14">
        <v>5.9710000000000001</v>
      </c>
      <c r="R329" s="14">
        <v>0.22500000000000001</v>
      </c>
      <c r="S329" s="15">
        <f t="shared" si="18"/>
        <v>0.22241666666666648</v>
      </c>
      <c r="T329" s="14">
        <v>0.51600000000000001</v>
      </c>
      <c r="U329" s="31">
        <f t="shared" ref="U329:U392" si="19">T329/1.86</f>
        <v>0.27741935483870966</v>
      </c>
      <c r="V329" s="2"/>
      <c r="W329" s="2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2.75" customHeight="1" x14ac:dyDescent="0.2">
      <c r="A330" s="16"/>
      <c r="B330" s="12" t="s">
        <v>347</v>
      </c>
      <c r="C330" s="13">
        <v>44473.714286979164</v>
      </c>
      <c r="D330" s="14">
        <v>-52.067</v>
      </c>
      <c r="E330" s="14">
        <v>54.515999999999998</v>
      </c>
      <c r="F330" s="14">
        <v>14.146000000000001</v>
      </c>
      <c r="G330" s="14">
        <v>-22.399000000000001</v>
      </c>
      <c r="H330" s="14">
        <v>18.423999999999999</v>
      </c>
      <c r="I330" s="14">
        <v>6.2949999999999999</v>
      </c>
      <c r="J330" s="14">
        <v>0.22500000000000001</v>
      </c>
      <c r="K330" s="15">
        <f t="shared" si="17"/>
        <v>0.22268749999999984</v>
      </c>
      <c r="L330" s="14">
        <v>-53.320999999999998</v>
      </c>
      <c r="M330" s="14">
        <v>47.670999999999999</v>
      </c>
      <c r="N330" s="14">
        <v>13.324999999999999</v>
      </c>
      <c r="O330" s="14">
        <v>-21.844999999999999</v>
      </c>
      <c r="P330" s="14">
        <v>21.515000000000001</v>
      </c>
      <c r="Q330" s="14">
        <v>6.17</v>
      </c>
      <c r="R330" s="14">
        <v>0.22500000000000001</v>
      </c>
      <c r="S330" s="15">
        <f t="shared" si="18"/>
        <v>0.22241666666666648</v>
      </c>
      <c r="T330" s="14" t="s">
        <v>26</v>
      </c>
      <c r="U330" s="31" t="e">
        <f t="shared" si="19"/>
        <v>#VALUE!</v>
      </c>
      <c r="V330" s="2"/>
      <c r="W330" s="2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2.75" customHeight="1" x14ac:dyDescent="0.2">
      <c r="A331" s="16"/>
      <c r="B331" s="12" t="s">
        <v>348</v>
      </c>
      <c r="C331" s="13">
        <v>44473.735120254627</v>
      </c>
      <c r="D331" s="14">
        <v>-64.841999999999999</v>
      </c>
      <c r="E331" s="14">
        <v>66.204999999999998</v>
      </c>
      <c r="F331" s="14">
        <v>18.004999999999999</v>
      </c>
      <c r="G331" s="14">
        <v>-33.970999999999997</v>
      </c>
      <c r="H331" s="14">
        <v>20.751999999999999</v>
      </c>
      <c r="I331" s="14">
        <v>8.1180000000000003</v>
      </c>
      <c r="J331" s="14">
        <v>0.22500000000000001</v>
      </c>
      <c r="K331" s="15">
        <f t="shared" si="17"/>
        <v>0.22268749999999984</v>
      </c>
      <c r="L331" s="14">
        <v>-59.155000000000001</v>
      </c>
      <c r="M331" s="14">
        <v>74.632999999999996</v>
      </c>
      <c r="N331" s="14">
        <v>16.562000000000001</v>
      </c>
      <c r="O331" s="14">
        <v>-29.553999999999998</v>
      </c>
      <c r="P331" s="14">
        <v>25.532</v>
      </c>
      <c r="Q331" s="14">
        <v>7.2640000000000002</v>
      </c>
      <c r="R331" s="14">
        <v>0.22500000000000001</v>
      </c>
      <c r="S331" s="15">
        <f t="shared" si="18"/>
        <v>0.22241666666666648</v>
      </c>
      <c r="T331" s="14">
        <v>0.85</v>
      </c>
      <c r="U331" s="31">
        <f t="shared" si="19"/>
        <v>0.45698924731182794</v>
      </c>
      <c r="V331" s="2"/>
      <c r="W331" s="2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2.75" customHeight="1" x14ac:dyDescent="0.2">
      <c r="A332" s="16"/>
      <c r="B332" s="12" t="s">
        <v>349</v>
      </c>
      <c r="C332" s="13">
        <v>44473.75595353009</v>
      </c>
      <c r="D332" s="14">
        <v>-86.828999999999994</v>
      </c>
      <c r="E332" s="14">
        <v>90.143000000000001</v>
      </c>
      <c r="F332" s="14">
        <v>21.032</v>
      </c>
      <c r="G332" s="14">
        <v>-31.317</v>
      </c>
      <c r="H332" s="14">
        <v>25.885999999999999</v>
      </c>
      <c r="I332" s="14">
        <v>8.1219999999999999</v>
      </c>
      <c r="J332" s="14">
        <v>0.22500000000000001</v>
      </c>
      <c r="K332" s="15">
        <f t="shared" si="17"/>
        <v>0.22268749999999984</v>
      </c>
      <c r="L332" s="14">
        <v>-83.391999999999996</v>
      </c>
      <c r="M332" s="14">
        <v>94.623000000000005</v>
      </c>
      <c r="N332" s="14">
        <v>18.789000000000001</v>
      </c>
      <c r="O332" s="14">
        <v>-30.62</v>
      </c>
      <c r="P332" s="14">
        <v>28.370999999999999</v>
      </c>
      <c r="Q332" s="14">
        <v>7.3609999999999998</v>
      </c>
      <c r="R332" s="14">
        <v>0.22500000000000001</v>
      </c>
      <c r="S332" s="15">
        <f t="shared" si="18"/>
        <v>0.22241666666666648</v>
      </c>
      <c r="T332" s="14" t="s">
        <v>26</v>
      </c>
      <c r="U332" s="31" t="e">
        <f t="shared" si="19"/>
        <v>#VALUE!</v>
      </c>
      <c r="V332" s="2"/>
      <c r="W332" s="2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2.75" customHeight="1" x14ac:dyDescent="0.2">
      <c r="A333" s="16"/>
      <c r="B333" s="12" t="s">
        <v>350</v>
      </c>
      <c r="C333" s="13">
        <v>44473.776786805553</v>
      </c>
      <c r="D333" s="14">
        <v>-89.808000000000007</v>
      </c>
      <c r="E333" s="14">
        <v>71.266999999999996</v>
      </c>
      <c r="F333" s="14">
        <v>21.984000000000002</v>
      </c>
      <c r="G333" s="14">
        <v>-28.067</v>
      </c>
      <c r="H333" s="14">
        <v>33.274000000000001</v>
      </c>
      <c r="I333" s="14">
        <v>8.4090000000000007</v>
      </c>
      <c r="J333" s="14">
        <v>0.22500000000000001</v>
      </c>
      <c r="K333" s="15">
        <f t="shared" si="17"/>
        <v>0.22268749999999984</v>
      </c>
      <c r="L333" s="14">
        <v>-76.147000000000006</v>
      </c>
      <c r="M333" s="14">
        <v>90.582999999999998</v>
      </c>
      <c r="N333" s="14">
        <v>20.731000000000002</v>
      </c>
      <c r="O333" s="14">
        <v>-37.982999999999997</v>
      </c>
      <c r="P333" s="14">
        <v>26.113</v>
      </c>
      <c r="Q333" s="14">
        <v>7.8029999999999999</v>
      </c>
      <c r="R333" s="14">
        <v>0.22500000000000001</v>
      </c>
      <c r="S333" s="15">
        <f t="shared" si="18"/>
        <v>0.22241666666666648</v>
      </c>
      <c r="T333" s="14">
        <v>1.0569999999999999</v>
      </c>
      <c r="U333" s="31">
        <f t="shared" si="19"/>
        <v>0.56827956989247308</v>
      </c>
      <c r="V333" s="2"/>
      <c r="W333" s="2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2.75" customHeight="1" x14ac:dyDescent="0.2">
      <c r="A334" s="16"/>
      <c r="B334" s="12" t="s">
        <v>351</v>
      </c>
      <c r="C334" s="13">
        <v>44473.797620081015</v>
      </c>
      <c r="D334" s="14">
        <v>-85.203000000000003</v>
      </c>
      <c r="E334" s="14">
        <v>80.572000000000003</v>
      </c>
      <c r="F334" s="14">
        <v>22.579000000000001</v>
      </c>
      <c r="G334" s="14">
        <v>-31.388999999999999</v>
      </c>
      <c r="H334" s="14">
        <v>34.091000000000001</v>
      </c>
      <c r="I334" s="14">
        <v>8.9390000000000001</v>
      </c>
      <c r="J334" s="14">
        <v>0.22500000000000001</v>
      </c>
      <c r="K334" s="15">
        <f t="shared" si="17"/>
        <v>0.22268749999999984</v>
      </c>
      <c r="L334" s="14">
        <v>-72.843000000000004</v>
      </c>
      <c r="M334" s="14">
        <v>90.602000000000004</v>
      </c>
      <c r="N334" s="14">
        <v>19.997</v>
      </c>
      <c r="O334" s="14">
        <v>-29.361999999999998</v>
      </c>
      <c r="P334" s="14">
        <v>21.334</v>
      </c>
      <c r="Q334" s="14">
        <v>7.6950000000000003</v>
      </c>
      <c r="R334" s="14">
        <v>0.22500000000000001</v>
      </c>
      <c r="S334" s="15">
        <f t="shared" si="18"/>
        <v>0.22241666666666648</v>
      </c>
      <c r="T334" s="14" t="s">
        <v>26</v>
      </c>
      <c r="U334" s="31" t="e">
        <f t="shared" si="19"/>
        <v>#VALUE!</v>
      </c>
      <c r="V334" s="2"/>
      <c r="W334" s="2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2.75" customHeight="1" x14ac:dyDescent="0.2">
      <c r="A335" s="16"/>
      <c r="B335" s="12" t="s">
        <v>352</v>
      </c>
      <c r="C335" s="13">
        <v>44473.818453356478</v>
      </c>
      <c r="D335" s="14">
        <v>-161.654</v>
      </c>
      <c r="E335" s="14">
        <v>110.72199999999999</v>
      </c>
      <c r="F335" s="14">
        <v>32.405999999999999</v>
      </c>
      <c r="G335" s="14">
        <v>-45.738999999999997</v>
      </c>
      <c r="H335" s="14">
        <v>59.76</v>
      </c>
      <c r="I335" s="14">
        <v>12.766</v>
      </c>
      <c r="J335" s="14">
        <v>0.22500000000000001</v>
      </c>
      <c r="K335" s="15">
        <f t="shared" si="17"/>
        <v>0.22268749999999984</v>
      </c>
      <c r="L335" s="14">
        <v>-130.85400000000001</v>
      </c>
      <c r="M335" s="14">
        <v>150.18299999999999</v>
      </c>
      <c r="N335" s="14">
        <v>32.332000000000001</v>
      </c>
      <c r="O335" s="14">
        <v>-56.540999999999997</v>
      </c>
      <c r="P335" s="14">
        <v>40.481000000000002</v>
      </c>
      <c r="Q335" s="14">
        <v>12.54</v>
      </c>
      <c r="R335" s="14">
        <v>0.22500000000000001</v>
      </c>
      <c r="S335" s="15">
        <f t="shared" si="18"/>
        <v>0.22241666666666648</v>
      </c>
      <c r="T335" s="14">
        <v>0.998</v>
      </c>
      <c r="U335" s="31">
        <f t="shared" si="19"/>
        <v>0.53655913978494618</v>
      </c>
      <c r="V335" s="2"/>
      <c r="W335" s="2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2.75" customHeight="1" x14ac:dyDescent="0.2">
      <c r="A336" s="16"/>
      <c r="B336" s="12" t="s">
        <v>353</v>
      </c>
      <c r="C336" s="13">
        <v>44473.839286631941</v>
      </c>
      <c r="D336" s="14">
        <v>-141.39599999999999</v>
      </c>
      <c r="E336" s="14">
        <v>142.37100000000001</v>
      </c>
      <c r="F336" s="14">
        <v>38.601999999999997</v>
      </c>
      <c r="G336" s="14">
        <v>-44.713999999999999</v>
      </c>
      <c r="H336" s="14">
        <v>58.128</v>
      </c>
      <c r="I336" s="14">
        <v>16.015999999999998</v>
      </c>
      <c r="J336" s="14">
        <v>0.22500000000000001</v>
      </c>
      <c r="K336" s="15">
        <f t="shared" si="17"/>
        <v>0.22268749999999984</v>
      </c>
      <c r="L336" s="14">
        <v>-149.107</v>
      </c>
      <c r="M336" s="14">
        <v>157.44499999999999</v>
      </c>
      <c r="N336" s="14">
        <v>41.576999999999998</v>
      </c>
      <c r="O336" s="14">
        <v>-58.545000000000002</v>
      </c>
      <c r="P336" s="14">
        <v>50.692</v>
      </c>
      <c r="Q336" s="14">
        <v>16.922999999999998</v>
      </c>
      <c r="R336" s="14">
        <v>0.22500000000000001</v>
      </c>
      <c r="S336" s="15">
        <f t="shared" si="18"/>
        <v>0.22241666666666648</v>
      </c>
      <c r="T336" s="14" t="s">
        <v>26</v>
      </c>
      <c r="U336" s="31" t="e">
        <f t="shared" si="19"/>
        <v>#VALUE!</v>
      </c>
      <c r="V336" s="2"/>
      <c r="W336" s="2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2.75" customHeight="1" x14ac:dyDescent="0.2">
      <c r="A337" s="16"/>
      <c r="B337" s="12" t="s">
        <v>354</v>
      </c>
      <c r="C337" s="13">
        <v>44473.860119907411</v>
      </c>
      <c r="D337" s="14">
        <v>-158.011</v>
      </c>
      <c r="E337" s="14">
        <v>119.349</v>
      </c>
      <c r="F337" s="14">
        <v>37.359000000000002</v>
      </c>
      <c r="G337" s="14">
        <v>-47.703000000000003</v>
      </c>
      <c r="H337" s="14">
        <v>54.145000000000003</v>
      </c>
      <c r="I337" s="14">
        <v>15.68</v>
      </c>
      <c r="J337" s="14">
        <v>0.22500000000000001</v>
      </c>
      <c r="K337" s="15">
        <f t="shared" si="17"/>
        <v>0.22268749999999984</v>
      </c>
      <c r="L337" s="14">
        <v>-141.02099999999999</v>
      </c>
      <c r="M337" s="14">
        <v>152.51900000000001</v>
      </c>
      <c r="N337" s="14">
        <v>41.860999999999997</v>
      </c>
      <c r="O337" s="14">
        <v>-50.973999999999997</v>
      </c>
      <c r="P337" s="14">
        <v>54.472999999999999</v>
      </c>
      <c r="Q337" s="14">
        <v>17.32</v>
      </c>
      <c r="R337" s="14">
        <v>0.22500000000000001</v>
      </c>
      <c r="S337" s="15">
        <f t="shared" si="18"/>
        <v>0.22241666666666648</v>
      </c>
      <c r="T337" s="14">
        <v>1.0629999999999999</v>
      </c>
      <c r="U337" s="31">
        <f t="shared" si="19"/>
        <v>0.57150537634408594</v>
      </c>
      <c r="V337" s="2"/>
      <c r="W337" s="2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2.75" customHeight="1" x14ac:dyDescent="0.2">
      <c r="A338" s="16"/>
      <c r="B338" s="12" t="s">
        <v>355</v>
      </c>
      <c r="C338" s="13">
        <v>44473.880953182874</v>
      </c>
      <c r="D338" s="14">
        <v>-137.08600000000001</v>
      </c>
      <c r="E338" s="14">
        <v>118.82599999999999</v>
      </c>
      <c r="F338" s="14">
        <v>37.017000000000003</v>
      </c>
      <c r="G338" s="14">
        <v>-51.814</v>
      </c>
      <c r="H338" s="14">
        <v>45.445999999999998</v>
      </c>
      <c r="I338" s="14">
        <v>15.010999999999999</v>
      </c>
      <c r="J338" s="14">
        <v>0.22500000000000001</v>
      </c>
      <c r="K338" s="15">
        <f t="shared" si="17"/>
        <v>0.22268749999999984</v>
      </c>
      <c r="L338" s="14">
        <v>-134.76</v>
      </c>
      <c r="M338" s="14">
        <v>140.166</v>
      </c>
      <c r="N338" s="14">
        <v>39.22</v>
      </c>
      <c r="O338" s="14">
        <v>-42.106999999999999</v>
      </c>
      <c r="P338" s="14">
        <v>56.734000000000002</v>
      </c>
      <c r="Q338" s="14">
        <v>15.914999999999999</v>
      </c>
      <c r="R338" s="14">
        <v>0.22500000000000001</v>
      </c>
      <c r="S338" s="15">
        <f t="shared" si="18"/>
        <v>0.22241666666666648</v>
      </c>
      <c r="T338" s="14" t="s">
        <v>26</v>
      </c>
      <c r="U338" s="31" t="e">
        <f t="shared" si="19"/>
        <v>#VALUE!</v>
      </c>
      <c r="V338" s="2"/>
      <c r="W338" s="2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2" customHeight="1" x14ac:dyDescent="0.2">
      <c r="A339" s="16"/>
      <c r="B339" s="12" t="s">
        <v>356</v>
      </c>
      <c r="C339" s="13">
        <v>44473.901786458337</v>
      </c>
      <c r="D339" s="14">
        <v>-135.363</v>
      </c>
      <c r="E339" s="14">
        <v>112.66</v>
      </c>
      <c r="F339" s="14">
        <v>35.588000000000001</v>
      </c>
      <c r="G339" s="14">
        <v>-44.061</v>
      </c>
      <c r="H339" s="14">
        <v>40.514000000000003</v>
      </c>
      <c r="I339" s="14">
        <v>13.882999999999999</v>
      </c>
      <c r="J339" s="14">
        <v>0.22500000000000001</v>
      </c>
      <c r="K339" s="15">
        <f t="shared" si="17"/>
        <v>0.22268749999999984</v>
      </c>
      <c r="L339" s="14">
        <v>-140.44999999999999</v>
      </c>
      <c r="M339" s="14">
        <v>149.161</v>
      </c>
      <c r="N339" s="14">
        <v>39.084000000000003</v>
      </c>
      <c r="O339" s="14">
        <v>-43.555</v>
      </c>
      <c r="P339" s="14">
        <v>53.241999999999997</v>
      </c>
      <c r="Q339" s="14">
        <v>15.208</v>
      </c>
      <c r="R339" s="14">
        <v>0.22500000000000001</v>
      </c>
      <c r="S339" s="15">
        <f t="shared" si="18"/>
        <v>0.22241666666666648</v>
      </c>
      <c r="T339" s="14">
        <v>0.95499999999999996</v>
      </c>
      <c r="U339" s="31">
        <f t="shared" si="19"/>
        <v>0.51344086021505375</v>
      </c>
      <c r="V339" s="2"/>
      <c r="W339" s="2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2.75" customHeight="1" x14ac:dyDescent="0.2">
      <c r="A340" s="16"/>
      <c r="B340" s="12" t="s">
        <v>357</v>
      </c>
      <c r="C340" s="13">
        <v>44473.922619733799</v>
      </c>
      <c r="D340" s="14">
        <v>-103.797</v>
      </c>
      <c r="E340" s="14">
        <v>97.474999999999994</v>
      </c>
      <c r="F340" s="14">
        <v>33.247999999999998</v>
      </c>
      <c r="G340" s="14">
        <v>-30.782</v>
      </c>
      <c r="H340" s="14">
        <v>38.347000000000001</v>
      </c>
      <c r="I340" s="14">
        <v>12.679</v>
      </c>
      <c r="J340" s="14">
        <v>0.22500000000000001</v>
      </c>
      <c r="K340" s="15">
        <f t="shared" si="17"/>
        <v>0.22268749999999984</v>
      </c>
      <c r="L340" s="14">
        <v>-118.996</v>
      </c>
      <c r="M340" s="14">
        <v>141.42500000000001</v>
      </c>
      <c r="N340" s="14">
        <v>35.360999999999997</v>
      </c>
      <c r="O340" s="14">
        <v>-44.75</v>
      </c>
      <c r="P340" s="14">
        <v>40.39</v>
      </c>
      <c r="Q340" s="14">
        <v>13.513999999999999</v>
      </c>
      <c r="R340" s="14">
        <v>0.22500000000000001</v>
      </c>
      <c r="S340" s="15">
        <f t="shared" si="18"/>
        <v>0.22241666666666648</v>
      </c>
      <c r="T340" s="14" t="s">
        <v>26</v>
      </c>
      <c r="U340" s="31" t="e">
        <f t="shared" si="19"/>
        <v>#VALUE!</v>
      </c>
      <c r="V340" s="2"/>
      <c r="W340" s="2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2.75" customHeight="1" x14ac:dyDescent="0.2">
      <c r="A341" s="16"/>
      <c r="B341" s="12" t="s">
        <v>358</v>
      </c>
      <c r="C341" s="13">
        <v>44473.943453009262</v>
      </c>
      <c r="D341" s="14">
        <v>-114.596</v>
      </c>
      <c r="E341" s="14">
        <v>101.96899999999999</v>
      </c>
      <c r="F341" s="14">
        <v>33.432000000000002</v>
      </c>
      <c r="G341" s="14">
        <v>-39.673999999999999</v>
      </c>
      <c r="H341" s="14">
        <v>44.929000000000002</v>
      </c>
      <c r="I341" s="14">
        <v>12.725</v>
      </c>
      <c r="J341" s="14">
        <v>0.22500000000000001</v>
      </c>
      <c r="K341" s="15">
        <f t="shared" si="17"/>
        <v>0.22268749999999984</v>
      </c>
      <c r="L341" s="14">
        <v>-138.03700000000001</v>
      </c>
      <c r="M341" s="14">
        <v>138.559</v>
      </c>
      <c r="N341" s="14">
        <v>34.566000000000003</v>
      </c>
      <c r="O341" s="14">
        <v>-49.426000000000002</v>
      </c>
      <c r="P341" s="14">
        <v>46.000999999999998</v>
      </c>
      <c r="Q341" s="14">
        <v>13.189</v>
      </c>
      <c r="R341" s="14">
        <v>0.22500000000000001</v>
      </c>
      <c r="S341" s="15">
        <f t="shared" si="18"/>
        <v>0.22241666666666648</v>
      </c>
      <c r="T341" s="14">
        <v>1.022</v>
      </c>
      <c r="U341" s="31">
        <f t="shared" si="19"/>
        <v>0.54946236559139783</v>
      </c>
      <c r="V341" s="2"/>
      <c r="W341" s="2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2.75" customHeight="1" x14ac:dyDescent="0.2">
      <c r="A342" s="16"/>
      <c r="B342" s="12" t="s">
        <v>359</v>
      </c>
      <c r="C342" s="13">
        <v>44473.964286284725</v>
      </c>
      <c r="D342" s="14">
        <v>-152.89500000000001</v>
      </c>
      <c r="E342" s="14">
        <v>122.745</v>
      </c>
      <c r="F342" s="14">
        <v>34.356999999999999</v>
      </c>
      <c r="G342" s="14">
        <v>-52.154000000000003</v>
      </c>
      <c r="H342" s="14">
        <v>46.9</v>
      </c>
      <c r="I342" s="14">
        <v>12.855</v>
      </c>
      <c r="J342" s="14">
        <v>0.22500000000000001</v>
      </c>
      <c r="K342" s="15">
        <f t="shared" si="17"/>
        <v>0.22268749999999984</v>
      </c>
      <c r="L342" s="14">
        <v>-128.18700000000001</v>
      </c>
      <c r="M342" s="14">
        <v>144.131</v>
      </c>
      <c r="N342" s="14">
        <v>35.917999999999999</v>
      </c>
      <c r="O342" s="14">
        <v>-42.673000000000002</v>
      </c>
      <c r="P342" s="14">
        <v>41.805999999999997</v>
      </c>
      <c r="Q342" s="14">
        <v>13.449</v>
      </c>
      <c r="R342" s="14">
        <v>0.22500000000000001</v>
      </c>
      <c r="S342" s="15">
        <f t="shared" si="18"/>
        <v>0.22241666666666648</v>
      </c>
      <c r="T342" s="14" t="s">
        <v>26</v>
      </c>
      <c r="U342" s="31" t="e">
        <f t="shared" si="19"/>
        <v>#VALUE!</v>
      </c>
      <c r="V342" s="2"/>
      <c r="W342" s="2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2.75" customHeight="1" x14ac:dyDescent="0.2">
      <c r="A343" s="16"/>
      <c r="B343" s="12" t="s">
        <v>360</v>
      </c>
      <c r="C343" s="13">
        <v>44473.985119560188</v>
      </c>
      <c r="D343" s="14">
        <v>-112.794</v>
      </c>
      <c r="E343" s="14">
        <v>92.72</v>
      </c>
      <c r="F343" s="14">
        <v>33.343000000000004</v>
      </c>
      <c r="G343" s="14">
        <v>-36.387</v>
      </c>
      <c r="H343" s="14">
        <v>36.942</v>
      </c>
      <c r="I343" s="14">
        <v>13.029</v>
      </c>
      <c r="J343" s="14">
        <v>0.22500000000000001</v>
      </c>
      <c r="K343" s="15">
        <f t="shared" si="17"/>
        <v>0.22268749999999984</v>
      </c>
      <c r="L343" s="14">
        <v>-127.282</v>
      </c>
      <c r="M343" s="14">
        <v>152.73099999999999</v>
      </c>
      <c r="N343" s="14">
        <v>36.698</v>
      </c>
      <c r="O343" s="14">
        <v>-44.384999999999998</v>
      </c>
      <c r="P343" s="14">
        <v>51.326999999999998</v>
      </c>
      <c r="Q343" s="14">
        <v>14.538</v>
      </c>
      <c r="R343" s="14">
        <v>0.22500000000000001</v>
      </c>
      <c r="S343" s="15">
        <f t="shared" si="18"/>
        <v>0.22241666666666648</v>
      </c>
      <c r="T343" s="14">
        <v>1.8420000000000001</v>
      </c>
      <c r="U343" s="31">
        <f t="shared" si="19"/>
        <v>0.99032258064516132</v>
      </c>
      <c r="V343" s="2"/>
      <c r="W343" s="2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2.75" customHeight="1" x14ac:dyDescent="0.2">
      <c r="A344" s="20">
        <v>8</v>
      </c>
      <c r="B344" s="21" t="s">
        <v>361</v>
      </c>
      <c r="C344" s="13">
        <v>44474.005952835651</v>
      </c>
      <c r="D344" s="22">
        <v>-115.871</v>
      </c>
      <c r="E344" s="22">
        <v>109.474</v>
      </c>
      <c r="F344" s="22">
        <v>30.672999999999998</v>
      </c>
      <c r="G344" s="22">
        <v>-36.140999999999998</v>
      </c>
      <c r="H344" s="22">
        <v>48.981000000000002</v>
      </c>
      <c r="I344" s="22">
        <v>12.222</v>
      </c>
      <c r="J344" s="22">
        <v>0.22500000000000001</v>
      </c>
      <c r="K344" s="23">
        <f>AVERAGE(J344:J391)</f>
        <v>0.20512500000000003</v>
      </c>
      <c r="L344" s="22">
        <v>-123.648</v>
      </c>
      <c r="M344" s="22">
        <v>121.51</v>
      </c>
      <c r="N344" s="22">
        <v>33.866</v>
      </c>
      <c r="O344" s="22">
        <v>-44.905000000000001</v>
      </c>
      <c r="P344" s="22">
        <v>40.649000000000001</v>
      </c>
      <c r="Q344" s="22">
        <v>13.077</v>
      </c>
      <c r="R344" s="22">
        <v>0.22500000000000001</v>
      </c>
      <c r="S344" s="23">
        <f>AVERAGE(R344:R391)</f>
        <v>0.2012708333333334</v>
      </c>
      <c r="T344" s="22" t="s">
        <v>26</v>
      </c>
      <c r="U344" s="31" t="e">
        <f t="shared" si="19"/>
        <v>#VALUE!</v>
      </c>
      <c r="V344" s="25"/>
      <c r="W344" s="25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</row>
    <row r="345" spans="1:42" ht="12.75" customHeight="1" x14ac:dyDescent="0.2">
      <c r="A345" s="16"/>
      <c r="B345" s="21" t="s">
        <v>362</v>
      </c>
      <c r="C345" s="13">
        <v>44474.026786111113</v>
      </c>
      <c r="D345" s="22">
        <v>-100.479</v>
      </c>
      <c r="E345" s="22">
        <v>101.749</v>
      </c>
      <c r="F345" s="22">
        <v>30.498000000000001</v>
      </c>
      <c r="G345" s="22">
        <v>-36.604999999999997</v>
      </c>
      <c r="H345" s="22">
        <v>37.607999999999997</v>
      </c>
      <c r="I345" s="22">
        <v>12.254</v>
      </c>
      <c r="J345" s="22">
        <v>0.22500000000000001</v>
      </c>
      <c r="K345" s="23">
        <f t="shared" ref="K345:K391" si="20">K344</f>
        <v>0.20512500000000003</v>
      </c>
      <c r="L345" s="22">
        <v>-117.551</v>
      </c>
      <c r="M345" s="22">
        <v>138.58000000000001</v>
      </c>
      <c r="N345" s="22">
        <v>32.265999999999998</v>
      </c>
      <c r="O345" s="22">
        <v>-42.46</v>
      </c>
      <c r="P345" s="22">
        <v>39.424999999999997</v>
      </c>
      <c r="Q345" s="22">
        <v>12.705</v>
      </c>
      <c r="R345" s="22">
        <v>0.22500000000000001</v>
      </c>
      <c r="S345" s="23">
        <f t="shared" ref="S345:S391" si="21">S344</f>
        <v>0.2012708333333334</v>
      </c>
      <c r="T345" s="22">
        <v>1.0669999999999999</v>
      </c>
      <c r="U345" s="31">
        <f t="shared" si="19"/>
        <v>0.57365591397849458</v>
      </c>
      <c r="V345" s="25"/>
      <c r="W345" s="25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</row>
    <row r="346" spans="1:42" ht="12.75" customHeight="1" x14ac:dyDescent="0.2">
      <c r="A346" s="16"/>
      <c r="B346" s="21" t="s">
        <v>363</v>
      </c>
      <c r="C346" s="13">
        <v>44474.047619386576</v>
      </c>
      <c r="D346" s="22">
        <v>-127.18899999999999</v>
      </c>
      <c r="E346" s="22">
        <v>92.914000000000001</v>
      </c>
      <c r="F346" s="22">
        <v>32.994</v>
      </c>
      <c r="G346" s="22">
        <v>-48.527999999999999</v>
      </c>
      <c r="H346" s="22">
        <v>36.076999999999998</v>
      </c>
      <c r="I346" s="22">
        <v>13.6</v>
      </c>
      <c r="J346" s="22">
        <v>0.22500000000000001</v>
      </c>
      <c r="K346" s="23">
        <f t="shared" si="20"/>
        <v>0.20512500000000003</v>
      </c>
      <c r="L346" s="22">
        <v>-164.19200000000001</v>
      </c>
      <c r="M346" s="22">
        <v>151.72800000000001</v>
      </c>
      <c r="N346" s="22">
        <v>37.679000000000002</v>
      </c>
      <c r="O346" s="22">
        <v>-46.01</v>
      </c>
      <c r="P346" s="22">
        <v>62.031999999999996</v>
      </c>
      <c r="Q346" s="22">
        <v>15.016</v>
      </c>
      <c r="R346" s="22">
        <v>0.22500000000000001</v>
      </c>
      <c r="S346" s="23">
        <f t="shared" si="21"/>
        <v>0.2012708333333334</v>
      </c>
      <c r="T346" s="22" t="s">
        <v>26</v>
      </c>
      <c r="U346" s="31" t="e">
        <f t="shared" si="19"/>
        <v>#VALUE!</v>
      </c>
      <c r="V346" s="25"/>
      <c r="W346" s="25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</row>
    <row r="347" spans="1:42" ht="12.75" customHeight="1" x14ac:dyDescent="0.2">
      <c r="A347" s="16"/>
      <c r="B347" s="21" t="s">
        <v>364</v>
      </c>
      <c r="C347" s="13">
        <v>44474.068452662039</v>
      </c>
      <c r="D347" s="22">
        <v>-107.078</v>
      </c>
      <c r="E347" s="22">
        <v>115.798</v>
      </c>
      <c r="F347" s="22">
        <v>32.112000000000002</v>
      </c>
      <c r="G347" s="22">
        <v>-38.488</v>
      </c>
      <c r="H347" s="22">
        <v>47.765000000000001</v>
      </c>
      <c r="I347" s="22">
        <v>13.36</v>
      </c>
      <c r="J347" s="22">
        <v>0.22500000000000001</v>
      </c>
      <c r="K347" s="23">
        <f t="shared" si="20"/>
        <v>0.20512500000000003</v>
      </c>
      <c r="L347" s="22">
        <v>-138.72399999999999</v>
      </c>
      <c r="M347" s="22">
        <v>124.104</v>
      </c>
      <c r="N347" s="22">
        <v>38.463000000000001</v>
      </c>
      <c r="O347" s="22">
        <v>-50.76</v>
      </c>
      <c r="P347" s="22">
        <v>41.024999999999999</v>
      </c>
      <c r="Q347" s="22">
        <v>15.154</v>
      </c>
      <c r="R347" s="22">
        <v>0.22500000000000001</v>
      </c>
      <c r="S347" s="23">
        <f t="shared" si="21"/>
        <v>0.2012708333333334</v>
      </c>
      <c r="T347" s="22">
        <v>0.94399999999999995</v>
      </c>
      <c r="U347" s="31">
        <f t="shared" si="19"/>
        <v>0.50752688172043003</v>
      </c>
      <c r="V347" s="25"/>
      <c r="W347" s="25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</row>
    <row r="348" spans="1:42" ht="12.75" customHeight="1" x14ac:dyDescent="0.2">
      <c r="A348" s="16"/>
      <c r="B348" s="21" t="s">
        <v>365</v>
      </c>
      <c r="C348" s="13">
        <v>44474.089285937502</v>
      </c>
      <c r="D348" s="22">
        <v>-101.959</v>
      </c>
      <c r="E348" s="22">
        <v>97.138999999999996</v>
      </c>
      <c r="F348" s="22">
        <v>29.363</v>
      </c>
      <c r="G348" s="22">
        <v>-44.137999999999998</v>
      </c>
      <c r="H348" s="22">
        <v>29.768000000000001</v>
      </c>
      <c r="I348" s="22">
        <v>12.253</v>
      </c>
      <c r="J348" s="22">
        <v>0.22500000000000001</v>
      </c>
      <c r="K348" s="23">
        <f t="shared" si="20"/>
        <v>0.20512500000000003</v>
      </c>
      <c r="L348" s="22">
        <v>-142.68799999999999</v>
      </c>
      <c r="M348" s="22">
        <v>143.898</v>
      </c>
      <c r="N348" s="22">
        <v>34.959000000000003</v>
      </c>
      <c r="O348" s="22">
        <v>-45.985999999999997</v>
      </c>
      <c r="P348" s="22">
        <v>50.874000000000002</v>
      </c>
      <c r="Q348" s="22">
        <v>13.682</v>
      </c>
      <c r="R348" s="22">
        <v>0.22500000000000001</v>
      </c>
      <c r="S348" s="23">
        <f t="shared" si="21"/>
        <v>0.2012708333333334</v>
      </c>
      <c r="T348" s="22" t="s">
        <v>26</v>
      </c>
      <c r="U348" s="31" t="e">
        <f t="shared" si="19"/>
        <v>#VALUE!</v>
      </c>
      <c r="V348" s="25"/>
      <c r="W348" s="25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</row>
    <row r="349" spans="1:42" ht="12.75" customHeight="1" x14ac:dyDescent="0.2">
      <c r="A349" s="16"/>
      <c r="B349" s="21" t="s">
        <v>366</v>
      </c>
      <c r="C349" s="13">
        <v>44474.110119212964</v>
      </c>
      <c r="D349" s="22">
        <v>-108.372</v>
      </c>
      <c r="E349" s="22">
        <v>97.822000000000003</v>
      </c>
      <c r="F349" s="22">
        <v>29.091000000000001</v>
      </c>
      <c r="G349" s="22">
        <v>-36.478000000000002</v>
      </c>
      <c r="H349" s="22">
        <v>37.68</v>
      </c>
      <c r="I349" s="22">
        <v>11.702</v>
      </c>
      <c r="J349" s="22">
        <v>0.22500000000000001</v>
      </c>
      <c r="K349" s="23">
        <f t="shared" si="20"/>
        <v>0.20512500000000003</v>
      </c>
      <c r="L349" s="22">
        <v>-127.22</v>
      </c>
      <c r="M349" s="22">
        <v>130.501</v>
      </c>
      <c r="N349" s="22">
        <v>35.917999999999999</v>
      </c>
      <c r="O349" s="22">
        <v>-49.883000000000003</v>
      </c>
      <c r="P349" s="22">
        <v>42.597999999999999</v>
      </c>
      <c r="Q349" s="22">
        <v>13.785</v>
      </c>
      <c r="R349" s="22">
        <v>0.22500000000000001</v>
      </c>
      <c r="S349" s="23">
        <f t="shared" si="21"/>
        <v>0.2012708333333334</v>
      </c>
      <c r="T349" s="22">
        <v>1.0509999999999999</v>
      </c>
      <c r="U349" s="31">
        <f t="shared" si="19"/>
        <v>0.56505376344086011</v>
      </c>
      <c r="V349" s="25"/>
      <c r="W349" s="25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</row>
    <row r="350" spans="1:42" ht="12.75" customHeight="1" x14ac:dyDescent="0.2">
      <c r="A350" s="16"/>
      <c r="B350" s="21" t="s">
        <v>367</v>
      </c>
      <c r="C350" s="13">
        <v>44474.130952488427</v>
      </c>
      <c r="D350" s="22">
        <v>-103.45</v>
      </c>
      <c r="E350" s="22">
        <v>94.766999999999996</v>
      </c>
      <c r="F350" s="22">
        <v>27.65</v>
      </c>
      <c r="G350" s="22">
        <v>-37.069000000000003</v>
      </c>
      <c r="H350" s="22">
        <v>32.116999999999997</v>
      </c>
      <c r="I350" s="22">
        <v>10.859</v>
      </c>
      <c r="J350" s="22">
        <v>0.22500000000000001</v>
      </c>
      <c r="K350" s="23">
        <f t="shared" si="20"/>
        <v>0.20512500000000003</v>
      </c>
      <c r="L350" s="22">
        <v>-130.54599999999999</v>
      </c>
      <c r="M350" s="22">
        <v>133.29900000000001</v>
      </c>
      <c r="N350" s="22">
        <v>36.340000000000003</v>
      </c>
      <c r="O350" s="22">
        <v>-49.46</v>
      </c>
      <c r="P350" s="22">
        <v>53.39</v>
      </c>
      <c r="Q350" s="22">
        <v>13.654</v>
      </c>
      <c r="R350" s="22">
        <v>0.22500000000000001</v>
      </c>
      <c r="S350" s="23">
        <f t="shared" si="21"/>
        <v>0.2012708333333334</v>
      </c>
      <c r="T350" s="22" t="s">
        <v>26</v>
      </c>
      <c r="U350" s="31" t="e">
        <f t="shared" si="19"/>
        <v>#VALUE!</v>
      </c>
      <c r="V350" s="25"/>
      <c r="W350" s="25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</row>
    <row r="351" spans="1:42" ht="12.75" customHeight="1" x14ac:dyDescent="0.2">
      <c r="A351" s="16"/>
      <c r="B351" s="21" t="s">
        <v>368</v>
      </c>
      <c r="C351" s="13">
        <v>44474.15178576389</v>
      </c>
      <c r="D351" s="22">
        <v>-110.583</v>
      </c>
      <c r="E351" s="22">
        <v>104.598</v>
      </c>
      <c r="F351" s="22">
        <v>28.332000000000001</v>
      </c>
      <c r="G351" s="22">
        <v>-35.979999999999997</v>
      </c>
      <c r="H351" s="22">
        <v>39.258000000000003</v>
      </c>
      <c r="I351" s="22">
        <v>11.393000000000001</v>
      </c>
      <c r="J351" s="22">
        <v>0.22500000000000001</v>
      </c>
      <c r="K351" s="23">
        <f t="shared" si="20"/>
        <v>0.20512500000000003</v>
      </c>
      <c r="L351" s="22">
        <v>-108.075</v>
      </c>
      <c r="M351" s="22">
        <v>135.50800000000001</v>
      </c>
      <c r="N351" s="22">
        <v>33.920999999999999</v>
      </c>
      <c r="O351" s="22">
        <v>-47.642000000000003</v>
      </c>
      <c r="P351" s="22">
        <v>43.484999999999999</v>
      </c>
      <c r="Q351" s="22">
        <v>13.032</v>
      </c>
      <c r="R351" s="22">
        <v>0.22500000000000001</v>
      </c>
      <c r="S351" s="23">
        <f t="shared" si="21"/>
        <v>0.2012708333333334</v>
      </c>
      <c r="T351" s="22">
        <v>1.0429999999999999</v>
      </c>
      <c r="U351" s="31">
        <f t="shared" si="19"/>
        <v>0.56075268817204293</v>
      </c>
      <c r="V351" s="25"/>
      <c r="W351" s="25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</row>
    <row r="352" spans="1:42" ht="12.75" customHeight="1" x14ac:dyDescent="0.2">
      <c r="A352" s="16"/>
      <c r="B352" s="21" t="s">
        <v>369</v>
      </c>
      <c r="C352" s="13">
        <v>44474.172619039353</v>
      </c>
      <c r="D352" s="22">
        <v>-104.702</v>
      </c>
      <c r="E352" s="22">
        <v>94.245999999999995</v>
      </c>
      <c r="F352" s="22">
        <v>28.585999999999999</v>
      </c>
      <c r="G352" s="22">
        <v>-39.957999999999998</v>
      </c>
      <c r="H352" s="22">
        <v>44.639000000000003</v>
      </c>
      <c r="I352" s="22">
        <v>11.317</v>
      </c>
      <c r="J352" s="22">
        <v>0.22500000000000001</v>
      </c>
      <c r="K352" s="23">
        <f t="shared" si="20"/>
        <v>0.20512500000000003</v>
      </c>
      <c r="L352" s="22">
        <v>-126.755</v>
      </c>
      <c r="M352" s="22">
        <v>131.22900000000001</v>
      </c>
      <c r="N352" s="22">
        <v>30.71</v>
      </c>
      <c r="O352" s="22">
        <v>-50.933</v>
      </c>
      <c r="P352" s="22">
        <v>40.215000000000003</v>
      </c>
      <c r="Q352" s="22">
        <v>11.919</v>
      </c>
      <c r="R352" s="22">
        <v>0.22500000000000001</v>
      </c>
      <c r="S352" s="23">
        <f t="shared" si="21"/>
        <v>0.2012708333333334</v>
      </c>
      <c r="T352" s="22" t="s">
        <v>26</v>
      </c>
      <c r="U352" s="31" t="e">
        <f t="shared" si="19"/>
        <v>#VALUE!</v>
      </c>
      <c r="V352" s="25"/>
      <c r="W352" s="25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</row>
    <row r="353" spans="1:42" ht="12.75" customHeight="1" x14ac:dyDescent="0.2">
      <c r="A353" s="16"/>
      <c r="B353" s="21" t="s">
        <v>370</v>
      </c>
      <c r="C353" s="13">
        <v>44474.193452314816</v>
      </c>
      <c r="D353" s="22">
        <v>-116.22199999999999</v>
      </c>
      <c r="E353" s="22">
        <v>108.72</v>
      </c>
      <c r="F353" s="22">
        <v>29.265999999999998</v>
      </c>
      <c r="G353" s="22">
        <v>-42.182000000000002</v>
      </c>
      <c r="H353" s="22">
        <v>46.271000000000001</v>
      </c>
      <c r="I353" s="22">
        <v>11.659000000000001</v>
      </c>
      <c r="J353" s="22">
        <v>0.22500000000000001</v>
      </c>
      <c r="K353" s="23">
        <f t="shared" si="20"/>
        <v>0.20512500000000003</v>
      </c>
      <c r="L353" s="22">
        <v>-120.402</v>
      </c>
      <c r="M353" s="22">
        <v>130.881</v>
      </c>
      <c r="N353" s="22">
        <v>33.130000000000003</v>
      </c>
      <c r="O353" s="22">
        <v>-43.790999999999997</v>
      </c>
      <c r="P353" s="22">
        <v>45.834000000000003</v>
      </c>
      <c r="Q353" s="22">
        <v>12.701000000000001</v>
      </c>
      <c r="R353" s="22">
        <v>0.22500000000000001</v>
      </c>
      <c r="S353" s="23">
        <f t="shared" si="21"/>
        <v>0.2012708333333334</v>
      </c>
      <c r="T353" s="22">
        <v>2.516</v>
      </c>
      <c r="U353" s="31">
        <f t="shared" si="19"/>
        <v>1.3526881720430106</v>
      </c>
      <c r="V353" s="25"/>
      <c r="W353" s="25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</row>
    <row r="354" spans="1:42" ht="12.75" customHeight="1" x14ac:dyDescent="0.2">
      <c r="A354" s="16"/>
      <c r="B354" s="21" t="s">
        <v>371</v>
      </c>
      <c r="C354" s="13">
        <v>44474.214285590278</v>
      </c>
      <c r="D354" s="22">
        <v>-114.205</v>
      </c>
      <c r="E354" s="22">
        <v>101.441</v>
      </c>
      <c r="F354" s="22">
        <v>34.475999999999999</v>
      </c>
      <c r="G354" s="22">
        <v>-38.350999999999999</v>
      </c>
      <c r="H354" s="22">
        <v>47.988</v>
      </c>
      <c r="I354" s="22">
        <v>13.45</v>
      </c>
      <c r="J354" s="22">
        <v>0.22500000000000001</v>
      </c>
      <c r="K354" s="23">
        <f t="shared" si="20"/>
        <v>0.20512500000000003</v>
      </c>
      <c r="L354" s="22">
        <v>-123.068</v>
      </c>
      <c r="M354" s="22">
        <v>135.42099999999999</v>
      </c>
      <c r="N354" s="22">
        <v>36.933</v>
      </c>
      <c r="O354" s="22">
        <v>-44.557000000000002</v>
      </c>
      <c r="P354" s="22">
        <v>44.042000000000002</v>
      </c>
      <c r="Q354" s="22">
        <v>14.345000000000001</v>
      </c>
      <c r="R354" s="22">
        <v>0.22500000000000001</v>
      </c>
      <c r="S354" s="23">
        <f t="shared" si="21"/>
        <v>0.2012708333333334</v>
      </c>
      <c r="T354" s="22" t="s">
        <v>26</v>
      </c>
      <c r="U354" s="31" t="e">
        <f t="shared" si="19"/>
        <v>#VALUE!</v>
      </c>
      <c r="V354" s="25"/>
      <c r="W354" s="25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</row>
    <row r="355" spans="1:42" ht="12.75" customHeight="1" x14ac:dyDescent="0.2">
      <c r="A355" s="16"/>
      <c r="B355" s="21" t="s">
        <v>372</v>
      </c>
      <c r="C355" s="13">
        <v>44474.235118865741</v>
      </c>
      <c r="D355" s="22">
        <v>-127.098</v>
      </c>
      <c r="E355" s="22">
        <v>118.401</v>
      </c>
      <c r="F355" s="22">
        <v>36.427</v>
      </c>
      <c r="G355" s="22">
        <v>-43.462000000000003</v>
      </c>
      <c r="H355" s="22">
        <v>47.076999999999998</v>
      </c>
      <c r="I355" s="22">
        <v>14.401999999999999</v>
      </c>
      <c r="J355" s="22">
        <v>0.22500000000000001</v>
      </c>
      <c r="K355" s="23">
        <f t="shared" si="20"/>
        <v>0.20512500000000003</v>
      </c>
      <c r="L355" s="22">
        <v>-120.324</v>
      </c>
      <c r="M355" s="22">
        <v>150.88</v>
      </c>
      <c r="N355" s="22">
        <v>35.158000000000001</v>
      </c>
      <c r="O355" s="22">
        <v>-50.860999999999997</v>
      </c>
      <c r="P355" s="22">
        <v>44.847999999999999</v>
      </c>
      <c r="Q355" s="22">
        <v>13.638999999999999</v>
      </c>
      <c r="R355" s="22">
        <v>0.22500000000000001</v>
      </c>
      <c r="S355" s="23">
        <f t="shared" si="21"/>
        <v>0.2012708333333334</v>
      </c>
      <c r="T355" s="22">
        <v>2.6819999999999999</v>
      </c>
      <c r="U355" s="31">
        <f t="shared" si="19"/>
        <v>1.4419354838709677</v>
      </c>
      <c r="V355" s="25"/>
      <c r="W355" s="25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</row>
    <row r="356" spans="1:42" ht="12.75" customHeight="1" x14ac:dyDescent="0.2">
      <c r="A356" s="16"/>
      <c r="B356" s="21" t="s">
        <v>373</v>
      </c>
      <c r="C356" s="13">
        <v>44474.255952141204</v>
      </c>
      <c r="D356" s="22">
        <v>-162.77000000000001</v>
      </c>
      <c r="E356" s="22">
        <v>159.17099999999999</v>
      </c>
      <c r="F356" s="22">
        <v>41.383000000000003</v>
      </c>
      <c r="G356" s="22">
        <v>-63.957000000000001</v>
      </c>
      <c r="H356" s="22">
        <v>48.837000000000003</v>
      </c>
      <c r="I356" s="22">
        <v>16.593</v>
      </c>
      <c r="J356" s="22">
        <v>0.22500000000000001</v>
      </c>
      <c r="K356" s="23">
        <f t="shared" si="20"/>
        <v>0.20512500000000003</v>
      </c>
      <c r="L356" s="22">
        <v>-127.965</v>
      </c>
      <c r="M356" s="22">
        <v>150.74100000000001</v>
      </c>
      <c r="N356" s="22">
        <v>39.26</v>
      </c>
      <c r="O356" s="22">
        <v>-53.790999999999997</v>
      </c>
      <c r="P356" s="22">
        <v>49.091999999999999</v>
      </c>
      <c r="Q356" s="22">
        <v>15.724</v>
      </c>
      <c r="R356" s="22">
        <v>0.22500000000000001</v>
      </c>
      <c r="S356" s="23">
        <f t="shared" si="21"/>
        <v>0.2012708333333334</v>
      </c>
      <c r="T356" s="22" t="s">
        <v>26</v>
      </c>
      <c r="U356" s="31" t="e">
        <f t="shared" si="19"/>
        <v>#VALUE!</v>
      </c>
      <c r="V356" s="25"/>
      <c r="W356" s="25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</row>
    <row r="357" spans="1:42" ht="12.75" customHeight="1" x14ac:dyDescent="0.2">
      <c r="A357" s="16"/>
      <c r="B357" s="21" t="s">
        <v>374</v>
      </c>
      <c r="C357" s="13">
        <v>44474.276785416667</v>
      </c>
      <c r="D357" s="22">
        <v>-169.95400000000001</v>
      </c>
      <c r="E357" s="22">
        <v>169.18899999999999</v>
      </c>
      <c r="F357" s="22">
        <v>50.430999999999997</v>
      </c>
      <c r="G357" s="22">
        <v>-69.022000000000006</v>
      </c>
      <c r="H357" s="22">
        <v>70.245000000000005</v>
      </c>
      <c r="I357" s="22">
        <v>21.786999999999999</v>
      </c>
      <c r="J357" s="22">
        <v>0.22500000000000001</v>
      </c>
      <c r="K357" s="23">
        <f t="shared" si="20"/>
        <v>0.20512500000000003</v>
      </c>
      <c r="L357" s="22">
        <v>-167.846</v>
      </c>
      <c r="M357" s="22">
        <v>229.89599999999999</v>
      </c>
      <c r="N357" s="22">
        <v>46.036000000000001</v>
      </c>
      <c r="O357" s="22">
        <v>-75.442999999999998</v>
      </c>
      <c r="P357" s="22">
        <v>71.588999999999999</v>
      </c>
      <c r="Q357" s="22">
        <v>20.193000000000001</v>
      </c>
      <c r="R357" s="22">
        <v>0.22500000000000001</v>
      </c>
      <c r="S357" s="23">
        <f t="shared" si="21"/>
        <v>0.2012708333333334</v>
      </c>
      <c r="T357" s="22">
        <v>1.409</v>
      </c>
      <c r="U357" s="31">
        <f t="shared" si="19"/>
        <v>0.75752688172043003</v>
      </c>
      <c r="V357" s="25"/>
      <c r="W357" s="25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</row>
    <row r="358" spans="1:42" ht="12.75" customHeight="1" x14ac:dyDescent="0.2">
      <c r="A358" s="16"/>
      <c r="B358" s="21" t="s">
        <v>375</v>
      </c>
      <c r="C358" s="13">
        <v>44474.29761869213</v>
      </c>
      <c r="D358" s="22">
        <v>-217.613</v>
      </c>
      <c r="E358" s="22">
        <v>205.47300000000001</v>
      </c>
      <c r="F358" s="22">
        <v>58.808</v>
      </c>
      <c r="G358" s="22">
        <v>-93.138999999999996</v>
      </c>
      <c r="H358" s="22">
        <v>96.384</v>
      </c>
      <c r="I358" s="22">
        <v>27.265000000000001</v>
      </c>
      <c r="J358" s="22">
        <v>0.22500000000000001</v>
      </c>
      <c r="K358" s="23">
        <f t="shared" si="20"/>
        <v>0.20512500000000003</v>
      </c>
      <c r="L358" s="22">
        <v>-177.74100000000001</v>
      </c>
      <c r="M358" s="22">
        <v>223.30199999999999</v>
      </c>
      <c r="N358" s="22">
        <v>59.247</v>
      </c>
      <c r="O358" s="22">
        <v>-92.04</v>
      </c>
      <c r="P358" s="22">
        <v>78.222999999999999</v>
      </c>
      <c r="Q358" s="22">
        <v>28.36</v>
      </c>
      <c r="R358" s="22">
        <v>0.22500000000000001</v>
      </c>
      <c r="S358" s="23">
        <f t="shared" si="21"/>
        <v>0.2012708333333334</v>
      </c>
      <c r="T358" s="22" t="s">
        <v>26</v>
      </c>
      <c r="U358" s="31" t="e">
        <f t="shared" si="19"/>
        <v>#VALUE!</v>
      </c>
      <c r="V358" s="25"/>
      <c r="W358" s="25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</row>
    <row r="359" spans="1:42" ht="12.75" customHeight="1" x14ac:dyDescent="0.2">
      <c r="A359" s="16"/>
      <c r="B359" s="21" t="s">
        <v>376</v>
      </c>
      <c r="C359" s="13">
        <v>44474.318451967592</v>
      </c>
      <c r="D359" s="22">
        <v>-229.43</v>
      </c>
      <c r="E359" s="22">
        <v>233.47900000000001</v>
      </c>
      <c r="F359" s="22">
        <v>66.308999999999997</v>
      </c>
      <c r="G359" s="22">
        <v>-109.43899999999999</v>
      </c>
      <c r="H359" s="22">
        <v>106.54900000000001</v>
      </c>
      <c r="I359" s="22">
        <v>34.927</v>
      </c>
      <c r="J359" s="22">
        <v>0.21299999999999999</v>
      </c>
      <c r="K359" s="23">
        <f t="shared" si="20"/>
        <v>0.20512500000000003</v>
      </c>
      <c r="L359" s="22">
        <v>-218.62100000000001</v>
      </c>
      <c r="M359" s="22">
        <v>205.58600000000001</v>
      </c>
      <c r="N359" s="22">
        <v>66.539000000000001</v>
      </c>
      <c r="O359" s="22">
        <v>-94.037000000000006</v>
      </c>
      <c r="P359" s="22">
        <v>117.67</v>
      </c>
      <c r="Q359" s="22">
        <v>35.390999999999998</v>
      </c>
      <c r="R359" s="22">
        <v>0.21299999999999999</v>
      </c>
      <c r="S359" s="23">
        <f t="shared" si="21"/>
        <v>0.2012708333333334</v>
      </c>
      <c r="T359" s="22">
        <v>1.548</v>
      </c>
      <c r="U359" s="31">
        <f t="shared" si="19"/>
        <v>0.83225806451612905</v>
      </c>
      <c r="V359" s="25"/>
      <c r="W359" s="25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</row>
    <row r="360" spans="1:42" ht="12.75" customHeight="1" x14ac:dyDescent="0.2">
      <c r="A360" s="16"/>
      <c r="B360" s="21" t="s">
        <v>377</v>
      </c>
      <c r="C360" s="13">
        <v>44474.339285243055</v>
      </c>
      <c r="D360" s="22">
        <v>-294.57799999999997</v>
      </c>
      <c r="E360" s="22">
        <v>325.79000000000002</v>
      </c>
      <c r="F360" s="22">
        <v>71.332999999999998</v>
      </c>
      <c r="G360" s="22">
        <v>-135.60900000000001</v>
      </c>
      <c r="H360" s="22">
        <v>136.81700000000001</v>
      </c>
      <c r="I360" s="22">
        <v>38.680999999999997</v>
      </c>
      <c r="J360" s="22">
        <v>0.21299999999999999</v>
      </c>
      <c r="K360" s="23">
        <f t="shared" si="20"/>
        <v>0.20512500000000003</v>
      </c>
      <c r="L360" s="22">
        <v>-241</v>
      </c>
      <c r="M360" s="22">
        <v>216.06299999999999</v>
      </c>
      <c r="N360" s="22">
        <v>68.921999999999997</v>
      </c>
      <c r="O360" s="22">
        <v>-103.169</v>
      </c>
      <c r="P360" s="22">
        <v>109.621</v>
      </c>
      <c r="Q360" s="22">
        <v>37.122</v>
      </c>
      <c r="R360" s="22">
        <v>0.21299999999999999</v>
      </c>
      <c r="S360" s="23">
        <f t="shared" si="21"/>
        <v>0.2012708333333334</v>
      </c>
      <c r="T360" s="22" t="s">
        <v>26</v>
      </c>
      <c r="U360" s="31" t="e">
        <f t="shared" si="19"/>
        <v>#VALUE!</v>
      </c>
      <c r="V360" s="25"/>
      <c r="W360" s="25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</row>
    <row r="361" spans="1:42" ht="12.75" customHeight="1" x14ac:dyDescent="0.2">
      <c r="A361" s="16"/>
      <c r="B361" s="21" t="s">
        <v>378</v>
      </c>
      <c r="C361" s="13">
        <v>44474.360118518518</v>
      </c>
      <c r="D361" s="22">
        <v>-243.23099999999999</v>
      </c>
      <c r="E361" s="22">
        <v>266.26600000000002</v>
      </c>
      <c r="F361" s="22">
        <v>70.352999999999994</v>
      </c>
      <c r="G361" s="22">
        <v>-122.03400000000001</v>
      </c>
      <c r="H361" s="22">
        <v>118.715</v>
      </c>
      <c r="I361" s="22">
        <v>38.905000000000001</v>
      </c>
      <c r="J361" s="22">
        <v>0.2</v>
      </c>
      <c r="K361" s="23">
        <f t="shared" si="20"/>
        <v>0.20512500000000003</v>
      </c>
      <c r="L361" s="22">
        <v>-246.89599999999999</v>
      </c>
      <c r="M361" s="22">
        <v>252.40100000000001</v>
      </c>
      <c r="N361" s="22">
        <v>73.692999999999998</v>
      </c>
      <c r="O361" s="22">
        <v>-109.012</v>
      </c>
      <c r="P361" s="22">
        <v>146.35599999999999</v>
      </c>
      <c r="Q361" s="22">
        <v>41.069000000000003</v>
      </c>
      <c r="R361" s="22">
        <v>0.2</v>
      </c>
      <c r="S361" s="23">
        <f t="shared" si="21"/>
        <v>0.2012708333333334</v>
      </c>
      <c r="T361" s="22">
        <v>2.948</v>
      </c>
      <c r="U361" s="31">
        <f t="shared" si="19"/>
        <v>1.5849462365591396</v>
      </c>
      <c r="V361" s="25"/>
      <c r="W361" s="25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</row>
    <row r="362" spans="1:42" ht="12.75" customHeight="1" x14ac:dyDescent="0.2">
      <c r="A362" s="16"/>
      <c r="B362" s="21" t="s">
        <v>379</v>
      </c>
      <c r="C362" s="13">
        <v>44474.380951793981</v>
      </c>
      <c r="D362" s="22">
        <v>-260.34100000000001</v>
      </c>
      <c r="E362" s="22">
        <v>261.108</v>
      </c>
      <c r="F362" s="22">
        <v>76.494</v>
      </c>
      <c r="G362" s="22">
        <v>-131.79900000000001</v>
      </c>
      <c r="H362" s="22">
        <v>142.184</v>
      </c>
      <c r="I362" s="22">
        <v>44.01</v>
      </c>
      <c r="J362" s="22">
        <v>0.2</v>
      </c>
      <c r="K362" s="23">
        <f t="shared" si="20"/>
        <v>0.20512500000000003</v>
      </c>
      <c r="L362" s="22">
        <v>-253.827</v>
      </c>
      <c r="M362" s="22">
        <v>253.697</v>
      </c>
      <c r="N362" s="22">
        <v>78.42</v>
      </c>
      <c r="O362" s="22">
        <v>-130.715</v>
      </c>
      <c r="P362" s="22">
        <v>130.23099999999999</v>
      </c>
      <c r="Q362" s="22">
        <v>45.773000000000003</v>
      </c>
      <c r="R362" s="22">
        <v>0.2</v>
      </c>
      <c r="S362" s="23">
        <f t="shared" si="21"/>
        <v>0.2012708333333334</v>
      </c>
      <c r="T362" s="22" t="s">
        <v>26</v>
      </c>
      <c r="U362" s="31" t="e">
        <f t="shared" si="19"/>
        <v>#VALUE!</v>
      </c>
      <c r="V362" s="25"/>
      <c r="W362" s="25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</row>
    <row r="363" spans="1:42" ht="12.75" customHeight="1" x14ac:dyDescent="0.2">
      <c r="A363" s="16"/>
      <c r="B363" s="21" t="s">
        <v>380</v>
      </c>
      <c r="C363" s="13">
        <v>44474.401785069444</v>
      </c>
      <c r="D363" s="22">
        <v>-252.03200000000001</v>
      </c>
      <c r="E363" s="22">
        <v>246.17099999999999</v>
      </c>
      <c r="F363" s="22">
        <v>72.441999999999993</v>
      </c>
      <c r="G363" s="22">
        <v>-135.04499999999999</v>
      </c>
      <c r="H363" s="22">
        <v>110.52500000000001</v>
      </c>
      <c r="I363" s="22">
        <v>41.793999999999997</v>
      </c>
      <c r="J363" s="22">
        <v>0.2</v>
      </c>
      <c r="K363" s="23">
        <f t="shared" si="20"/>
        <v>0.20512500000000003</v>
      </c>
      <c r="L363" s="22">
        <v>-252.886</v>
      </c>
      <c r="M363" s="22">
        <v>273.32100000000003</v>
      </c>
      <c r="N363" s="22">
        <v>75.471000000000004</v>
      </c>
      <c r="O363" s="22">
        <v>-126.208</v>
      </c>
      <c r="P363" s="22">
        <v>132.41200000000001</v>
      </c>
      <c r="Q363" s="22">
        <v>43.734999999999999</v>
      </c>
      <c r="R363" s="22">
        <v>0.188</v>
      </c>
      <c r="S363" s="23">
        <f t="shared" si="21"/>
        <v>0.2012708333333334</v>
      </c>
      <c r="T363" s="22">
        <v>2.1240000000000001</v>
      </c>
      <c r="U363" s="31">
        <f t="shared" si="19"/>
        <v>1.1419354838709677</v>
      </c>
      <c r="V363" s="25"/>
      <c r="W363" s="25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</row>
    <row r="364" spans="1:42" ht="12.75" customHeight="1" x14ac:dyDescent="0.2">
      <c r="A364" s="16"/>
      <c r="B364" s="21" t="s">
        <v>381</v>
      </c>
      <c r="C364" s="13">
        <v>44474.422618344906</v>
      </c>
      <c r="D364" s="22">
        <v>-237.92599999999999</v>
      </c>
      <c r="E364" s="22">
        <v>267.44099999999997</v>
      </c>
      <c r="F364" s="22">
        <v>73.989000000000004</v>
      </c>
      <c r="G364" s="22">
        <v>-132.69399999999999</v>
      </c>
      <c r="H364" s="22">
        <v>123.873</v>
      </c>
      <c r="I364" s="22">
        <v>42.555999999999997</v>
      </c>
      <c r="J364" s="22">
        <v>0.2</v>
      </c>
      <c r="K364" s="23">
        <f t="shared" si="20"/>
        <v>0.20512500000000003</v>
      </c>
      <c r="L364" s="22">
        <v>-239.82</v>
      </c>
      <c r="M364" s="22">
        <v>277.517</v>
      </c>
      <c r="N364" s="22">
        <v>75.971999999999994</v>
      </c>
      <c r="O364" s="22">
        <v>-119.182</v>
      </c>
      <c r="P364" s="22">
        <v>133.869</v>
      </c>
      <c r="Q364" s="22">
        <v>43.61</v>
      </c>
      <c r="R364" s="22">
        <v>0.2</v>
      </c>
      <c r="S364" s="23">
        <f t="shared" si="21"/>
        <v>0.2012708333333334</v>
      </c>
      <c r="T364" s="22" t="s">
        <v>26</v>
      </c>
      <c r="U364" s="31" t="e">
        <f t="shared" si="19"/>
        <v>#VALUE!</v>
      </c>
      <c r="V364" s="25"/>
      <c r="W364" s="25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</row>
    <row r="365" spans="1:42" ht="12.75" customHeight="1" x14ac:dyDescent="0.2">
      <c r="A365" s="16"/>
      <c r="B365" s="21" t="s">
        <v>382</v>
      </c>
      <c r="C365" s="13">
        <v>44474.443451620369</v>
      </c>
      <c r="D365" s="22">
        <v>-227.88800000000001</v>
      </c>
      <c r="E365" s="22">
        <v>218.11500000000001</v>
      </c>
      <c r="F365" s="22">
        <v>68.566000000000003</v>
      </c>
      <c r="G365" s="22">
        <v>-131.232</v>
      </c>
      <c r="H365" s="22">
        <v>101.121</v>
      </c>
      <c r="I365" s="22">
        <v>39.398000000000003</v>
      </c>
      <c r="J365" s="22">
        <v>0.2</v>
      </c>
      <c r="K365" s="23">
        <f t="shared" si="20"/>
        <v>0.20512500000000003</v>
      </c>
      <c r="L365" s="22">
        <v>-247.48699999999999</v>
      </c>
      <c r="M365" s="22">
        <v>255.21100000000001</v>
      </c>
      <c r="N365" s="22">
        <v>73.27</v>
      </c>
      <c r="O365" s="22">
        <v>-143.87200000000001</v>
      </c>
      <c r="P365" s="22">
        <v>122.664</v>
      </c>
      <c r="Q365" s="22">
        <v>41.488999999999997</v>
      </c>
      <c r="R365" s="22">
        <v>0.188</v>
      </c>
      <c r="S365" s="23">
        <f t="shared" si="21"/>
        <v>0.2012708333333334</v>
      </c>
      <c r="T365" s="22">
        <v>2.8330000000000002</v>
      </c>
      <c r="U365" s="31">
        <f t="shared" si="19"/>
        <v>1.5231182795698925</v>
      </c>
      <c r="V365" s="25"/>
      <c r="W365" s="25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</row>
    <row r="366" spans="1:42" ht="12.75" customHeight="1" x14ac:dyDescent="0.2">
      <c r="A366" s="16"/>
      <c r="B366" s="21" t="s">
        <v>383</v>
      </c>
      <c r="C366" s="13">
        <v>44474.464284895832</v>
      </c>
      <c r="D366" s="22">
        <v>-261.84899999999999</v>
      </c>
      <c r="E366" s="22">
        <v>242.328</v>
      </c>
      <c r="F366" s="22">
        <v>70.372</v>
      </c>
      <c r="G366" s="22">
        <v>-140.13399999999999</v>
      </c>
      <c r="H366" s="22">
        <v>111.155</v>
      </c>
      <c r="I366" s="22">
        <v>42.878</v>
      </c>
      <c r="J366" s="22">
        <v>0.188</v>
      </c>
      <c r="K366" s="23">
        <f t="shared" si="20"/>
        <v>0.20512500000000003</v>
      </c>
      <c r="L366" s="22">
        <v>-246.101</v>
      </c>
      <c r="M366" s="22">
        <v>280.94099999999997</v>
      </c>
      <c r="N366" s="22">
        <v>76.947999999999993</v>
      </c>
      <c r="O366" s="22">
        <v>-143.92099999999999</v>
      </c>
      <c r="P366" s="22">
        <v>114.32599999999999</v>
      </c>
      <c r="Q366" s="22">
        <v>45.853999999999999</v>
      </c>
      <c r="R366" s="22">
        <v>0.188</v>
      </c>
      <c r="S366" s="23">
        <f t="shared" si="21"/>
        <v>0.2012708333333334</v>
      </c>
      <c r="T366" s="22" t="s">
        <v>26</v>
      </c>
      <c r="U366" s="31" t="e">
        <f t="shared" si="19"/>
        <v>#VALUE!</v>
      </c>
      <c r="V366" s="25"/>
      <c r="W366" s="25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</row>
    <row r="367" spans="1:42" ht="12.75" customHeight="1" x14ac:dyDescent="0.2">
      <c r="A367" s="16"/>
      <c r="B367" s="21" t="s">
        <v>384</v>
      </c>
      <c r="C367" s="13">
        <v>44474.485118171295</v>
      </c>
      <c r="D367" s="22">
        <v>-223.83099999999999</v>
      </c>
      <c r="E367" s="22">
        <v>216.37200000000001</v>
      </c>
      <c r="F367" s="22">
        <v>67.444000000000003</v>
      </c>
      <c r="G367" s="22">
        <v>-121.715</v>
      </c>
      <c r="H367" s="22">
        <v>119.887</v>
      </c>
      <c r="I367" s="22">
        <v>39.850999999999999</v>
      </c>
      <c r="J367" s="22">
        <v>0.2</v>
      </c>
      <c r="K367" s="23">
        <f t="shared" si="20"/>
        <v>0.20512500000000003</v>
      </c>
      <c r="L367" s="22">
        <v>-223.82599999999999</v>
      </c>
      <c r="M367" s="22">
        <v>257.846</v>
      </c>
      <c r="N367" s="22">
        <v>74.635999999999996</v>
      </c>
      <c r="O367" s="22">
        <v>-117.21599999999999</v>
      </c>
      <c r="P367" s="22">
        <v>126.36</v>
      </c>
      <c r="Q367" s="22">
        <v>43.518000000000001</v>
      </c>
      <c r="R367" s="22">
        <v>0.188</v>
      </c>
      <c r="S367" s="23">
        <f t="shared" si="21"/>
        <v>0.2012708333333334</v>
      </c>
      <c r="T367" s="22">
        <v>3.070999999999998</v>
      </c>
      <c r="U367" s="31">
        <f t="shared" si="19"/>
        <v>1.651075268817203</v>
      </c>
      <c r="V367" s="25"/>
      <c r="W367" s="25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</row>
    <row r="368" spans="1:42" ht="12.75" customHeight="1" x14ac:dyDescent="0.2">
      <c r="A368" s="16"/>
      <c r="B368" s="21" t="s">
        <v>385</v>
      </c>
      <c r="C368" s="13">
        <v>44474.505951446758</v>
      </c>
      <c r="D368" s="22">
        <v>-216.33</v>
      </c>
      <c r="E368" s="22">
        <v>227.73099999999999</v>
      </c>
      <c r="F368" s="22">
        <v>67.102000000000004</v>
      </c>
      <c r="G368" s="22">
        <v>-97.98</v>
      </c>
      <c r="H368" s="22">
        <v>141.83000000000001</v>
      </c>
      <c r="I368" s="22">
        <v>39.865000000000002</v>
      </c>
      <c r="J368" s="22">
        <v>0.2</v>
      </c>
      <c r="K368" s="23">
        <f t="shared" si="20"/>
        <v>0.20512500000000003</v>
      </c>
      <c r="L368" s="22">
        <v>-225.20699999999999</v>
      </c>
      <c r="M368" s="22">
        <v>271.15300000000002</v>
      </c>
      <c r="N368" s="22">
        <v>78.022999999999996</v>
      </c>
      <c r="O368" s="22">
        <v>-116.711</v>
      </c>
      <c r="P368" s="22">
        <v>131.16999999999999</v>
      </c>
      <c r="Q368" s="22">
        <v>44.959000000000003</v>
      </c>
      <c r="R368" s="22">
        <v>0.188</v>
      </c>
      <c r="S368" s="23">
        <f t="shared" si="21"/>
        <v>0.2012708333333334</v>
      </c>
      <c r="T368" s="22" t="s">
        <v>26</v>
      </c>
      <c r="U368" s="31" t="e">
        <f t="shared" si="19"/>
        <v>#VALUE!</v>
      </c>
      <c r="V368" s="25"/>
      <c r="W368" s="25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</row>
    <row r="369" spans="1:42" ht="12.75" customHeight="1" x14ac:dyDescent="0.2">
      <c r="A369" s="16"/>
      <c r="B369" s="21" t="s">
        <v>386</v>
      </c>
      <c r="C369" s="13">
        <v>44474.52678472222</v>
      </c>
      <c r="D369" s="22">
        <v>-217.084</v>
      </c>
      <c r="E369" s="22">
        <v>247.89500000000001</v>
      </c>
      <c r="F369" s="22">
        <v>67.75</v>
      </c>
      <c r="G369" s="22">
        <v>-142.827</v>
      </c>
      <c r="H369" s="22">
        <v>103.762</v>
      </c>
      <c r="I369" s="22">
        <v>40.796999999999997</v>
      </c>
      <c r="J369" s="22">
        <v>0.188</v>
      </c>
      <c r="K369" s="23">
        <f t="shared" si="20"/>
        <v>0.20512500000000003</v>
      </c>
      <c r="L369" s="22">
        <v>-266.91399999999999</v>
      </c>
      <c r="M369" s="22">
        <v>256.86500000000001</v>
      </c>
      <c r="N369" s="22">
        <v>76.808000000000007</v>
      </c>
      <c r="O369" s="22">
        <v>-158.86199999999999</v>
      </c>
      <c r="P369" s="22">
        <v>113.142</v>
      </c>
      <c r="Q369" s="22">
        <v>46.529000000000003</v>
      </c>
      <c r="R369" s="22">
        <v>0.188</v>
      </c>
      <c r="S369" s="23">
        <f t="shared" si="21"/>
        <v>0.2012708333333334</v>
      </c>
      <c r="T369" s="22">
        <v>3.3490000000000002</v>
      </c>
      <c r="U369" s="31">
        <f t="shared" si="19"/>
        <v>1.8005376344086022</v>
      </c>
      <c r="V369" s="25"/>
      <c r="W369" s="25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</row>
    <row r="370" spans="1:42" ht="12.75" customHeight="1" x14ac:dyDescent="0.2">
      <c r="A370" s="16"/>
      <c r="B370" s="21" t="s">
        <v>387</v>
      </c>
      <c r="C370" s="13">
        <v>44474.547617997683</v>
      </c>
      <c r="D370" s="22">
        <v>-256.01600000000002</v>
      </c>
      <c r="E370" s="22">
        <v>248.386</v>
      </c>
      <c r="F370" s="22">
        <v>68.635000000000005</v>
      </c>
      <c r="G370" s="22">
        <v>-122.32299999999999</v>
      </c>
      <c r="H370" s="22">
        <v>112.483</v>
      </c>
      <c r="I370" s="22">
        <v>41.957999999999998</v>
      </c>
      <c r="J370" s="22">
        <v>0.188</v>
      </c>
      <c r="K370" s="23">
        <f t="shared" si="20"/>
        <v>0.20512500000000003</v>
      </c>
      <c r="L370" s="22">
        <v>-255.358</v>
      </c>
      <c r="M370" s="22">
        <v>258.14100000000002</v>
      </c>
      <c r="N370" s="22">
        <v>75.869</v>
      </c>
      <c r="O370" s="22">
        <v>-147.136</v>
      </c>
      <c r="P370" s="22">
        <v>139.56700000000001</v>
      </c>
      <c r="Q370" s="22">
        <v>46.750999999999998</v>
      </c>
      <c r="R370" s="22">
        <v>0.188</v>
      </c>
      <c r="S370" s="23">
        <f t="shared" si="21"/>
        <v>0.2012708333333334</v>
      </c>
      <c r="T370" s="22" t="s">
        <v>26</v>
      </c>
      <c r="U370" s="31" t="e">
        <f t="shared" si="19"/>
        <v>#VALUE!</v>
      </c>
      <c r="V370" s="25"/>
      <c r="W370" s="25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</row>
    <row r="371" spans="1:42" ht="12.75" customHeight="1" x14ac:dyDescent="0.2">
      <c r="A371" s="16"/>
      <c r="B371" s="21" t="s">
        <v>388</v>
      </c>
      <c r="C371" s="13">
        <v>44474.568451273146</v>
      </c>
      <c r="D371" s="22">
        <v>-215.51900000000001</v>
      </c>
      <c r="E371" s="22">
        <v>252.435</v>
      </c>
      <c r="F371" s="22">
        <v>69.715999999999994</v>
      </c>
      <c r="G371" s="22">
        <v>-127.247</v>
      </c>
      <c r="H371" s="22">
        <v>107.831</v>
      </c>
      <c r="I371" s="22">
        <v>41.701000000000001</v>
      </c>
      <c r="J371" s="22">
        <v>0.188</v>
      </c>
      <c r="K371" s="23">
        <f t="shared" si="20"/>
        <v>0.20512500000000003</v>
      </c>
      <c r="L371" s="22">
        <v>-246.54599999999999</v>
      </c>
      <c r="M371" s="22">
        <v>266.81700000000001</v>
      </c>
      <c r="N371" s="22">
        <v>75.915999999999997</v>
      </c>
      <c r="O371" s="22">
        <v>-141.61199999999999</v>
      </c>
      <c r="P371" s="22">
        <v>125.20699999999999</v>
      </c>
      <c r="Q371" s="22">
        <v>46.534999999999997</v>
      </c>
      <c r="R371" s="22">
        <v>0.188</v>
      </c>
      <c r="S371" s="23">
        <f t="shared" si="21"/>
        <v>0.2012708333333334</v>
      </c>
      <c r="T371" s="22">
        <v>3.159399999999998</v>
      </c>
      <c r="U371" s="31">
        <f t="shared" si="19"/>
        <v>1.6986021505376332</v>
      </c>
      <c r="V371" s="25"/>
      <c r="W371" s="25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</row>
    <row r="372" spans="1:42" ht="12.75" customHeight="1" x14ac:dyDescent="0.2">
      <c r="A372" s="16"/>
      <c r="B372" s="21" t="s">
        <v>389</v>
      </c>
      <c r="C372" s="13">
        <v>44474.589284548609</v>
      </c>
      <c r="D372" s="22">
        <v>-235.136</v>
      </c>
      <c r="E372" s="22">
        <v>267.56099999999998</v>
      </c>
      <c r="F372" s="22">
        <v>69.004000000000005</v>
      </c>
      <c r="G372" s="22">
        <v>-136.624</v>
      </c>
      <c r="H372" s="22">
        <v>102.992</v>
      </c>
      <c r="I372" s="22">
        <v>42.32</v>
      </c>
      <c r="J372" s="22">
        <v>0.188</v>
      </c>
      <c r="K372" s="23">
        <f t="shared" si="20"/>
        <v>0.20512500000000003</v>
      </c>
      <c r="L372" s="22">
        <v>-247.715</v>
      </c>
      <c r="M372" s="22">
        <v>311.17</v>
      </c>
      <c r="N372" s="22">
        <v>78.938999999999993</v>
      </c>
      <c r="O372" s="22">
        <v>-187.53200000000001</v>
      </c>
      <c r="P372" s="22">
        <v>126.971</v>
      </c>
      <c r="Q372" s="22">
        <v>50.125999999999998</v>
      </c>
      <c r="R372" s="22">
        <v>0.188</v>
      </c>
      <c r="S372" s="23">
        <f t="shared" si="21"/>
        <v>0.2012708333333334</v>
      </c>
      <c r="T372" s="22" t="s">
        <v>26</v>
      </c>
      <c r="U372" s="31" t="e">
        <f t="shared" si="19"/>
        <v>#VALUE!</v>
      </c>
      <c r="V372" s="25"/>
      <c r="W372" s="25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</row>
    <row r="373" spans="1:42" ht="12.75" customHeight="1" x14ac:dyDescent="0.2">
      <c r="A373" s="16"/>
      <c r="B373" s="21" t="s">
        <v>390</v>
      </c>
      <c r="C373" s="13">
        <v>44474.610117824071</v>
      </c>
      <c r="D373" s="22">
        <v>-213.59100000000001</v>
      </c>
      <c r="E373" s="22">
        <v>243.91300000000001</v>
      </c>
      <c r="F373" s="22">
        <v>63.468000000000004</v>
      </c>
      <c r="G373" s="22">
        <v>-124.27500000000001</v>
      </c>
      <c r="H373" s="22">
        <v>119.36799999999999</v>
      </c>
      <c r="I373" s="22">
        <v>39.713999999999999</v>
      </c>
      <c r="J373" s="22">
        <v>0.188</v>
      </c>
      <c r="K373" s="23">
        <f t="shared" si="20"/>
        <v>0.20512500000000003</v>
      </c>
      <c r="L373" s="22">
        <v>-241.64599999999999</v>
      </c>
      <c r="M373" s="22">
        <v>263.75900000000001</v>
      </c>
      <c r="N373" s="22">
        <v>72.236999999999995</v>
      </c>
      <c r="O373" s="22">
        <v>-154.59200000000001</v>
      </c>
      <c r="P373" s="22">
        <v>139.042</v>
      </c>
      <c r="Q373" s="22">
        <v>45.908999999999999</v>
      </c>
      <c r="R373" s="22">
        <v>0.188</v>
      </c>
      <c r="S373" s="23">
        <f t="shared" si="21"/>
        <v>0.2012708333333334</v>
      </c>
      <c r="T373" s="22">
        <v>2.7396999999999991</v>
      </c>
      <c r="U373" s="31">
        <f t="shared" si="19"/>
        <v>1.4729569892473113</v>
      </c>
      <c r="V373" s="25"/>
      <c r="W373" s="25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</row>
    <row r="374" spans="1:42" ht="12.75" customHeight="1" x14ac:dyDescent="0.2">
      <c r="A374" s="16"/>
      <c r="B374" s="21" t="s">
        <v>391</v>
      </c>
      <c r="C374" s="13">
        <v>44474.630951099534</v>
      </c>
      <c r="D374" s="22">
        <v>-205.20599999999999</v>
      </c>
      <c r="E374" s="22">
        <v>213.84100000000001</v>
      </c>
      <c r="F374" s="22">
        <v>69.695999999999998</v>
      </c>
      <c r="G374" s="22">
        <v>-105.464</v>
      </c>
      <c r="H374" s="22">
        <v>126.455</v>
      </c>
      <c r="I374" s="22">
        <v>44.335999999999999</v>
      </c>
      <c r="J374" s="22">
        <v>0.188</v>
      </c>
      <c r="K374" s="23">
        <f t="shared" si="20"/>
        <v>0.20512500000000003</v>
      </c>
      <c r="L374" s="22">
        <v>-251.61799999999999</v>
      </c>
      <c r="M374" s="22">
        <v>263.53800000000001</v>
      </c>
      <c r="N374" s="22">
        <v>78.284000000000006</v>
      </c>
      <c r="O374" s="22">
        <v>-147.90700000000001</v>
      </c>
      <c r="P374" s="22">
        <v>174.40199999999999</v>
      </c>
      <c r="Q374" s="22">
        <v>50.878</v>
      </c>
      <c r="R374" s="22">
        <v>0.188</v>
      </c>
      <c r="S374" s="23">
        <f t="shared" si="21"/>
        <v>0.2012708333333334</v>
      </c>
      <c r="T374" s="22" t="s">
        <v>26</v>
      </c>
      <c r="U374" s="31" t="e">
        <f t="shared" si="19"/>
        <v>#VALUE!</v>
      </c>
      <c r="V374" s="25"/>
      <c r="W374" s="25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</row>
    <row r="375" spans="1:42" ht="12.75" customHeight="1" x14ac:dyDescent="0.2">
      <c r="A375" s="16"/>
      <c r="B375" s="21" t="s">
        <v>392</v>
      </c>
      <c r="C375" s="13">
        <v>44474.651784374997</v>
      </c>
      <c r="D375" s="22">
        <v>-192.029</v>
      </c>
      <c r="E375" s="22">
        <v>238.30099999999999</v>
      </c>
      <c r="F375" s="22">
        <v>68.418000000000006</v>
      </c>
      <c r="G375" s="22">
        <v>-99.01</v>
      </c>
      <c r="H375" s="22">
        <v>128.89699999999999</v>
      </c>
      <c r="I375" s="22">
        <v>42.218000000000004</v>
      </c>
      <c r="J375" s="22">
        <v>0.2</v>
      </c>
      <c r="K375" s="23">
        <f t="shared" si="20"/>
        <v>0.20512500000000003</v>
      </c>
      <c r="L375" s="22">
        <v>-269.89699999999999</v>
      </c>
      <c r="M375" s="22">
        <v>283.70400000000001</v>
      </c>
      <c r="N375" s="22">
        <v>78.183999999999997</v>
      </c>
      <c r="O375" s="22">
        <v>-131.791</v>
      </c>
      <c r="P375" s="22">
        <v>148.99799999999999</v>
      </c>
      <c r="Q375" s="22">
        <v>48.726999999999997</v>
      </c>
      <c r="R375" s="22">
        <v>0.188</v>
      </c>
      <c r="S375" s="23">
        <f t="shared" si="21"/>
        <v>0.2012708333333334</v>
      </c>
      <c r="T375" s="22">
        <v>3.1469999999999998</v>
      </c>
      <c r="U375" s="31">
        <f t="shared" si="19"/>
        <v>1.6919354838709675</v>
      </c>
      <c r="V375" s="25"/>
      <c r="W375" s="25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</row>
    <row r="376" spans="1:42" ht="12.75" customHeight="1" x14ac:dyDescent="0.2">
      <c r="A376" s="16"/>
      <c r="B376" s="21" t="s">
        <v>393</v>
      </c>
      <c r="C376" s="13">
        <v>44474.67261765046</v>
      </c>
      <c r="D376" s="22">
        <v>-236.126</v>
      </c>
      <c r="E376" s="22">
        <v>254.13499999999999</v>
      </c>
      <c r="F376" s="22">
        <v>67.686000000000007</v>
      </c>
      <c r="G376" s="22">
        <v>-144.84200000000001</v>
      </c>
      <c r="H376" s="22">
        <v>107.214</v>
      </c>
      <c r="I376" s="22">
        <v>42.3</v>
      </c>
      <c r="J376" s="22">
        <v>0.188</v>
      </c>
      <c r="K376" s="23">
        <f t="shared" si="20"/>
        <v>0.20512500000000003</v>
      </c>
      <c r="L376" s="22">
        <v>-273.483</v>
      </c>
      <c r="M376" s="22">
        <v>373.33</v>
      </c>
      <c r="N376" s="22">
        <v>79.673000000000002</v>
      </c>
      <c r="O376" s="22">
        <v>-187.18600000000001</v>
      </c>
      <c r="P376" s="22">
        <v>154.76900000000001</v>
      </c>
      <c r="Q376" s="22">
        <v>51.018000000000001</v>
      </c>
      <c r="R376" s="22">
        <v>0.17499999999999999</v>
      </c>
      <c r="S376" s="23">
        <f t="shared" si="21"/>
        <v>0.2012708333333334</v>
      </c>
      <c r="T376" s="22" t="s">
        <v>26</v>
      </c>
      <c r="U376" s="31" t="e">
        <f t="shared" si="19"/>
        <v>#VALUE!</v>
      </c>
      <c r="V376" s="25"/>
      <c r="W376" s="25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</row>
    <row r="377" spans="1:42" ht="12.75" customHeight="1" x14ac:dyDescent="0.2">
      <c r="A377" s="16"/>
      <c r="B377" s="21" t="s">
        <v>394</v>
      </c>
      <c r="C377" s="13">
        <v>44474.693450925923</v>
      </c>
      <c r="D377" s="22">
        <v>-206.184</v>
      </c>
      <c r="E377" s="22">
        <v>263.767</v>
      </c>
      <c r="F377" s="22">
        <v>70.864000000000004</v>
      </c>
      <c r="G377" s="22">
        <v>-118.95099999999999</v>
      </c>
      <c r="H377" s="22">
        <v>129.322</v>
      </c>
      <c r="I377" s="22">
        <v>43.74</v>
      </c>
      <c r="J377" s="22">
        <v>0.21299999999999999</v>
      </c>
      <c r="K377" s="23">
        <f t="shared" si="20"/>
        <v>0.20512500000000003</v>
      </c>
      <c r="L377" s="22">
        <v>-243.66300000000001</v>
      </c>
      <c r="M377" s="22">
        <v>301.07900000000001</v>
      </c>
      <c r="N377" s="22">
        <v>80.197999999999993</v>
      </c>
      <c r="O377" s="22">
        <v>-152.54599999999999</v>
      </c>
      <c r="P377" s="22">
        <v>150.834</v>
      </c>
      <c r="Q377" s="22">
        <v>50.335999999999999</v>
      </c>
      <c r="R377" s="22">
        <v>0.17499999999999999</v>
      </c>
      <c r="S377" s="23">
        <f t="shared" si="21"/>
        <v>0.2012708333333334</v>
      </c>
      <c r="T377" s="22">
        <v>2.121</v>
      </c>
      <c r="U377" s="31">
        <f t="shared" si="19"/>
        <v>1.1403225806451611</v>
      </c>
      <c r="V377" s="25"/>
      <c r="W377" s="25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</row>
    <row r="378" spans="1:42" ht="12.75" customHeight="1" x14ac:dyDescent="0.2">
      <c r="A378" s="16"/>
      <c r="B378" s="21" t="s">
        <v>395</v>
      </c>
      <c r="C378" s="13">
        <v>44474.714284201385</v>
      </c>
      <c r="D378" s="22">
        <v>-273.14699999999999</v>
      </c>
      <c r="E378" s="22">
        <v>275.37599999999998</v>
      </c>
      <c r="F378" s="22">
        <v>73.003</v>
      </c>
      <c r="G378" s="22">
        <v>-145.27000000000001</v>
      </c>
      <c r="H378" s="22">
        <v>124.923</v>
      </c>
      <c r="I378" s="22">
        <v>44.976999999999997</v>
      </c>
      <c r="J378" s="22">
        <v>0.2</v>
      </c>
      <c r="K378" s="23">
        <f t="shared" si="20"/>
        <v>0.20512500000000003</v>
      </c>
      <c r="L378" s="22">
        <v>-273.541</v>
      </c>
      <c r="M378" s="22">
        <v>330.65100000000001</v>
      </c>
      <c r="N378" s="22">
        <v>84.195999999999998</v>
      </c>
      <c r="O378" s="22">
        <v>-173.27500000000001</v>
      </c>
      <c r="P378" s="22">
        <v>163.535</v>
      </c>
      <c r="Q378" s="22">
        <v>52.003999999999998</v>
      </c>
      <c r="R378" s="22">
        <v>0.2</v>
      </c>
      <c r="S378" s="23">
        <f t="shared" si="21"/>
        <v>0.2012708333333334</v>
      </c>
      <c r="T378" s="22" t="s">
        <v>26</v>
      </c>
      <c r="U378" s="31" t="e">
        <f t="shared" si="19"/>
        <v>#VALUE!</v>
      </c>
      <c r="V378" s="25"/>
      <c r="W378" s="25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</row>
    <row r="379" spans="1:42" ht="12.75" customHeight="1" x14ac:dyDescent="0.2">
      <c r="A379" s="16"/>
      <c r="B379" s="21" t="s">
        <v>396</v>
      </c>
      <c r="C379" s="13">
        <v>44474.735117476848</v>
      </c>
      <c r="D379" s="22">
        <v>-207.59700000000001</v>
      </c>
      <c r="E379" s="22">
        <v>273.505</v>
      </c>
      <c r="F379" s="22">
        <v>69.715000000000003</v>
      </c>
      <c r="G379" s="22">
        <v>-134.34800000000001</v>
      </c>
      <c r="H379" s="22">
        <v>117.834</v>
      </c>
      <c r="I379" s="22">
        <v>42.927999999999997</v>
      </c>
      <c r="J379" s="22">
        <v>0.2</v>
      </c>
      <c r="K379" s="23">
        <f t="shared" si="20"/>
        <v>0.20512500000000003</v>
      </c>
      <c r="L379" s="22">
        <v>-270.06099999999998</v>
      </c>
      <c r="M379" s="22">
        <v>281.35500000000002</v>
      </c>
      <c r="N379" s="22">
        <v>81.025999999999996</v>
      </c>
      <c r="O379" s="22">
        <v>-145.29</v>
      </c>
      <c r="P379" s="22">
        <v>174.291</v>
      </c>
      <c r="Q379" s="22">
        <v>50.72</v>
      </c>
      <c r="R379" s="22">
        <v>0.2</v>
      </c>
      <c r="S379" s="23">
        <f t="shared" si="21"/>
        <v>0.2012708333333334</v>
      </c>
      <c r="T379" s="22">
        <v>2.2789999999999999</v>
      </c>
      <c r="U379" s="31">
        <f t="shared" si="19"/>
        <v>1.2252688172043009</v>
      </c>
      <c r="V379" s="25"/>
      <c r="W379" s="25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</row>
    <row r="380" spans="1:42" ht="12.75" customHeight="1" x14ac:dyDescent="0.2">
      <c r="A380" s="16"/>
      <c r="B380" s="21" t="s">
        <v>397</v>
      </c>
      <c r="C380" s="13">
        <v>44474.755950752318</v>
      </c>
      <c r="D380" s="22">
        <v>-223.809</v>
      </c>
      <c r="E380" s="22">
        <v>290.52800000000002</v>
      </c>
      <c r="F380" s="22">
        <v>68.356999999999999</v>
      </c>
      <c r="G380" s="22">
        <v>-143.518</v>
      </c>
      <c r="H380" s="22">
        <v>110.571</v>
      </c>
      <c r="I380" s="22">
        <v>41.411999999999999</v>
      </c>
      <c r="J380" s="22">
        <v>0.2</v>
      </c>
      <c r="K380" s="23">
        <f t="shared" si="20"/>
        <v>0.20512500000000003</v>
      </c>
      <c r="L380" s="22">
        <v>-285.05399999999997</v>
      </c>
      <c r="M380" s="22">
        <v>337.04899999999998</v>
      </c>
      <c r="N380" s="22">
        <v>79.031999999999996</v>
      </c>
      <c r="O380" s="22">
        <v>-191.90600000000001</v>
      </c>
      <c r="P380" s="22">
        <v>157.99199999999999</v>
      </c>
      <c r="Q380" s="22">
        <v>48.47</v>
      </c>
      <c r="R380" s="22">
        <v>0.188</v>
      </c>
      <c r="S380" s="23">
        <f t="shared" si="21"/>
        <v>0.2012708333333334</v>
      </c>
      <c r="T380" s="22" t="s">
        <v>26</v>
      </c>
      <c r="U380" s="31" t="e">
        <f t="shared" si="19"/>
        <v>#VALUE!</v>
      </c>
      <c r="V380" s="25"/>
      <c r="W380" s="25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</row>
    <row r="381" spans="1:42" ht="12.75" customHeight="1" x14ac:dyDescent="0.2">
      <c r="A381" s="16"/>
      <c r="B381" s="21" t="s">
        <v>398</v>
      </c>
      <c r="C381" s="13">
        <v>44474.776784027781</v>
      </c>
      <c r="D381" s="22">
        <v>-216.21899999999999</v>
      </c>
      <c r="E381" s="22">
        <v>234.13399999999999</v>
      </c>
      <c r="F381" s="22">
        <v>66.385000000000005</v>
      </c>
      <c r="G381" s="22">
        <v>-106.476</v>
      </c>
      <c r="H381" s="22">
        <v>136.08699999999999</v>
      </c>
      <c r="I381" s="22">
        <v>40.246000000000002</v>
      </c>
      <c r="J381" s="22">
        <v>0.2</v>
      </c>
      <c r="K381" s="23">
        <f t="shared" si="20"/>
        <v>0.20512500000000003</v>
      </c>
      <c r="L381" s="22">
        <v>-240.23699999999999</v>
      </c>
      <c r="M381" s="22">
        <v>238.38800000000001</v>
      </c>
      <c r="N381" s="22">
        <v>77.441999999999993</v>
      </c>
      <c r="O381" s="22">
        <v>-116.922</v>
      </c>
      <c r="P381" s="22">
        <v>166.44800000000001</v>
      </c>
      <c r="Q381" s="22">
        <v>48.65</v>
      </c>
      <c r="R381" s="22">
        <v>0.2</v>
      </c>
      <c r="S381" s="23">
        <f t="shared" si="21"/>
        <v>0.2012708333333334</v>
      </c>
      <c r="T381" s="22">
        <v>2.0539999999999998</v>
      </c>
      <c r="U381" s="31">
        <f t="shared" si="19"/>
        <v>1.1043010752688172</v>
      </c>
      <c r="V381" s="25"/>
      <c r="W381" s="25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</row>
    <row r="382" spans="1:42" ht="12.75" customHeight="1" x14ac:dyDescent="0.2">
      <c r="A382" s="16"/>
      <c r="B382" s="21" t="s">
        <v>399</v>
      </c>
      <c r="C382" s="13">
        <v>44474.797617303244</v>
      </c>
      <c r="D382" s="22">
        <v>-208.23699999999999</v>
      </c>
      <c r="E382" s="22">
        <v>262.642</v>
      </c>
      <c r="F382" s="22">
        <v>62.719000000000001</v>
      </c>
      <c r="G382" s="22">
        <v>-126.035</v>
      </c>
      <c r="H382" s="22">
        <v>114.28</v>
      </c>
      <c r="I382" s="22">
        <v>37.22</v>
      </c>
      <c r="J382" s="22">
        <v>0.2</v>
      </c>
      <c r="K382" s="23">
        <f t="shared" si="20"/>
        <v>0.20512500000000003</v>
      </c>
      <c r="L382" s="22">
        <v>-245.614</v>
      </c>
      <c r="M382" s="22">
        <v>267.517</v>
      </c>
      <c r="N382" s="22">
        <v>69.730999999999995</v>
      </c>
      <c r="O382" s="22">
        <v>-151.51499999999999</v>
      </c>
      <c r="P382" s="22">
        <v>135.529</v>
      </c>
      <c r="Q382" s="22">
        <v>43.104999999999997</v>
      </c>
      <c r="R382" s="22">
        <v>0.2</v>
      </c>
      <c r="S382" s="23">
        <f t="shared" si="21"/>
        <v>0.2012708333333334</v>
      </c>
      <c r="T382" s="22" t="s">
        <v>26</v>
      </c>
      <c r="U382" s="31" t="e">
        <f t="shared" si="19"/>
        <v>#VALUE!</v>
      </c>
      <c r="V382" s="25"/>
      <c r="W382" s="25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</row>
    <row r="383" spans="1:42" ht="12.75" customHeight="1" x14ac:dyDescent="0.2">
      <c r="A383" s="16"/>
      <c r="B383" s="21" t="s">
        <v>400</v>
      </c>
      <c r="C383" s="13">
        <v>44474.818450578707</v>
      </c>
      <c r="D383" s="22">
        <v>-214.27699999999999</v>
      </c>
      <c r="E383" s="22">
        <v>231.221</v>
      </c>
      <c r="F383" s="22">
        <v>60.34</v>
      </c>
      <c r="G383" s="22">
        <v>-96.546999999999997</v>
      </c>
      <c r="H383" s="22">
        <v>126.789</v>
      </c>
      <c r="I383" s="22">
        <v>37.228999999999999</v>
      </c>
      <c r="J383" s="22">
        <v>0.188</v>
      </c>
      <c r="K383" s="23">
        <f t="shared" si="20"/>
        <v>0.20512500000000003</v>
      </c>
      <c r="L383" s="22">
        <v>-236.036</v>
      </c>
      <c r="M383" s="22">
        <v>324.00599999999997</v>
      </c>
      <c r="N383" s="22">
        <v>69.736999999999995</v>
      </c>
      <c r="O383" s="22">
        <v>-165.11199999999999</v>
      </c>
      <c r="P383" s="22">
        <v>149.161</v>
      </c>
      <c r="Q383" s="22">
        <v>43.84</v>
      </c>
      <c r="R383" s="22">
        <v>0.188</v>
      </c>
      <c r="S383" s="23">
        <f t="shared" si="21"/>
        <v>0.2012708333333334</v>
      </c>
      <c r="T383" s="22">
        <v>2.2050000000000001</v>
      </c>
      <c r="U383" s="31">
        <f t="shared" si="19"/>
        <v>1.185483870967742</v>
      </c>
      <c r="V383" s="25"/>
      <c r="W383" s="25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</row>
    <row r="384" spans="1:42" ht="12.75" customHeight="1" x14ac:dyDescent="0.2">
      <c r="A384" s="16"/>
      <c r="B384" s="21" t="s">
        <v>401</v>
      </c>
      <c r="C384" s="13">
        <v>44474.839283854169</v>
      </c>
      <c r="D384" s="22">
        <v>-210.63399999999999</v>
      </c>
      <c r="E384" s="22">
        <v>217.89500000000001</v>
      </c>
      <c r="F384" s="22">
        <v>62.22</v>
      </c>
      <c r="G384" s="22">
        <v>-121.16200000000001</v>
      </c>
      <c r="H384" s="22">
        <v>98.46</v>
      </c>
      <c r="I384" s="22">
        <v>36.99</v>
      </c>
      <c r="J384" s="22">
        <v>0.188</v>
      </c>
      <c r="K384" s="23">
        <f t="shared" si="20"/>
        <v>0.20512500000000003</v>
      </c>
      <c r="L384" s="22">
        <v>-245.01499999999999</v>
      </c>
      <c r="M384" s="22">
        <v>240.982</v>
      </c>
      <c r="N384" s="22">
        <v>66.471999999999994</v>
      </c>
      <c r="O384" s="22">
        <v>-144.989</v>
      </c>
      <c r="P384" s="22">
        <v>127.928</v>
      </c>
      <c r="Q384" s="22">
        <v>41.642000000000003</v>
      </c>
      <c r="R384" s="22">
        <v>0.188</v>
      </c>
      <c r="S384" s="23">
        <f t="shared" si="21"/>
        <v>0.2012708333333334</v>
      </c>
      <c r="T384" s="22" t="s">
        <v>26</v>
      </c>
      <c r="U384" s="31" t="e">
        <f t="shared" si="19"/>
        <v>#VALUE!</v>
      </c>
      <c r="V384" s="25"/>
      <c r="W384" s="25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</row>
    <row r="385" spans="1:42" ht="12.75" customHeight="1" x14ac:dyDescent="0.2">
      <c r="A385" s="16"/>
      <c r="B385" s="21" t="s">
        <v>402</v>
      </c>
      <c r="C385" s="13">
        <v>44474.860117129632</v>
      </c>
      <c r="D385" s="22">
        <v>-212.565</v>
      </c>
      <c r="E385" s="22">
        <v>246.458</v>
      </c>
      <c r="F385" s="22">
        <v>64.024000000000001</v>
      </c>
      <c r="G385" s="22">
        <v>-101.146</v>
      </c>
      <c r="H385" s="22">
        <v>109.10599999999999</v>
      </c>
      <c r="I385" s="22">
        <v>37.168999999999997</v>
      </c>
      <c r="J385" s="22">
        <v>0.2</v>
      </c>
      <c r="K385" s="23">
        <f t="shared" si="20"/>
        <v>0.20512500000000003</v>
      </c>
      <c r="L385" s="22">
        <v>-229.465</v>
      </c>
      <c r="M385" s="22">
        <v>249.46799999999999</v>
      </c>
      <c r="N385" s="22">
        <v>68.378</v>
      </c>
      <c r="O385" s="22">
        <v>-127.051</v>
      </c>
      <c r="P385" s="22">
        <v>148.21100000000001</v>
      </c>
      <c r="Q385" s="22">
        <v>42.497</v>
      </c>
      <c r="R385" s="22">
        <v>0.188</v>
      </c>
      <c r="S385" s="23">
        <f t="shared" si="21"/>
        <v>0.2012708333333334</v>
      </c>
      <c r="T385" s="22">
        <v>3.1814999999999998</v>
      </c>
      <c r="U385" s="31">
        <f t="shared" si="19"/>
        <v>1.7104838709677417</v>
      </c>
      <c r="V385" s="25"/>
      <c r="W385" s="25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</row>
    <row r="386" spans="1:42" ht="12.75" customHeight="1" x14ac:dyDescent="0.2">
      <c r="A386" s="16"/>
      <c r="B386" s="21" t="s">
        <v>403</v>
      </c>
      <c r="C386" s="13">
        <v>44474.880950405095</v>
      </c>
      <c r="D386" s="22">
        <v>-205.47900000000001</v>
      </c>
      <c r="E386" s="22">
        <v>227.00700000000001</v>
      </c>
      <c r="F386" s="22">
        <v>64.135999999999996</v>
      </c>
      <c r="G386" s="22">
        <v>-116.681</v>
      </c>
      <c r="H386" s="22">
        <v>109.914</v>
      </c>
      <c r="I386" s="22">
        <v>37.427999999999997</v>
      </c>
      <c r="J386" s="22">
        <v>0.188</v>
      </c>
      <c r="K386" s="23">
        <f t="shared" si="20"/>
        <v>0.20512500000000003</v>
      </c>
      <c r="L386" s="22">
        <v>-244.136</v>
      </c>
      <c r="M386" s="22">
        <v>253.59100000000001</v>
      </c>
      <c r="N386" s="22">
        <v>68.697999999999993</v>
      </c>
      <c r="O386" s="22">
        <v>-136.23599999999999</v>
      </c>
      <c r="P386" s="22">
        <v>113.155</v>
      </c>
      <c r="Q386" s="22">
        <v>41.201999999999998</v>
      </c>
      <c r="R386" s="22">
        <v>0.188</v>
      </c>
      <c r="S386" s="23">
        <f t="shared" si="21"/>
        <v>0.2012708333333334</v>
      </c>
      <c r="T386" s="22" t="s">
        <v>26</v>
      </c>
      <c r="U386" s="31" t="e">
        <f t="shared" si="19"/>
        <v>#VALUE!</v>
      </c>
      <c r="V386" s="25"/>
      <c r="W386" s="25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</row>
    <row r="387" spans="1:42" ht="12.75" customHeight="1" x14ac:dyDescent="0.2">
      <c r="A387" s="16"/>
      <c r="B387" s="21" t="s">
        <v>404</v>
      </c>
      <c r="C387" s="13">
        <v>44474.901783680558</v>
      </c>
      <c r="D387" s="22">
        <v>-203.25800000000001</v>
      </c>
      <c r="E387" s="22">
        <v>226.727</v>
      </c>
      <c r="F387" s="22">
        <v>64.037000000000006</v>
      </c>
      <c r="G387" s="22">
        <v>-105.13200000000001</v>
      </c>
      <c r="H387" s="22">
        <v>104.167</v>
      </c>
      <c r="I387" s="22">
        <v>37.616999999999997</v>
      </c>
      <c r="J387" s="22">
        <v>0.2</v>
      </c>
      <c r="K387" s="23">
        <f t="shared" si="20"/>
        <v>0.20512500000000003</v>
      </c>
      <c r="L387" s="22">
        <v>-242.08199999999999</v>
      </c>
      <c r="M387" s="22">
        <v>257.05700000000002</v>
      </c>
      <c r="N387" s="22">
        <v>67.113</v>
      </c>
      <c r="O387" s="22">
        <v>-129.56800000000001</v>
      </c>
      <c r="P387" s="22">
        <v>131.41999999999999</v>
      </c>
      <c r="Q387" s="22">
        <v>41.445</v>
      </c>
      <c r="R387" s="22">
        <v>0.17499999999999999</v>
      </c>
      <c r="S387" s="23">
        <f t="shared" si="21"/>
        <v>0.2012708333333334</v>
      </c>
      <c r="T387" s="22">
        <v>2.6949999999999998</v>
      </c>
      <c r="U387" s="31">
        <f t="shared" si="19"/>
        <v>1.4489247311827955</v>
      </c>
      <c r="V387" s="25"/>
      <c r="W387" s="25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</row>
    <row r="388" spans="1:42" ht="12.75" customHeight="1" x14ac:dyDescent="0.2">
      <c r="A388" s="16"/>
      <c r="B388" s="21" t="s">
        <v>405</v>
      </c>
      <c r="C388" s="13">
        <v>44474.922616956021</v>
      </c>
      <c r="D388" s="22">
        <v>-200.56800000000001</v>
      </c>
      <c r="E388" s="22">
        <v>230.25700000000001</v>
      </c>
      <c r="F388" s="22">
        <v>60.176000000000002</v>
      </c>
      <c r="G388" s="22">
        <v>-94.447000000000003</v>
      </c>
      <c r="H388" s="22">
        <v>115.833</v>
      </c>
      <c r="I388" s="22">
        <v>34.893999999999998</v>
      </c>
      <c r="J388" s="22">
        <v>0.188</v>
      </c>
      <c r="K388" s="23">
        <f t="shared" si="20"/>
        <v>0.20512500000000003</v>
      </c>
      <c r="L388" s="22">
        <v>-211.458</v>
      </c>
      <c r="M388" s="22">
        <v>233.05500000000001</v>
      </c>
      <c r="N388" s="22">
        <v>68.92</v>
      </c>
      <c r="O388" s="22">
        <v>-120.953</v>
      </c>
      <c r="P388" s="22">
        <v>138.55600000000001</v>
      </c>
      <c r="Q388" s="22">
        <v>41.24</v>
      </c>
      <c r="R388" s="22">
        <v>0.188</v>
      </c>
      <c r="S388" s="23">
        <f t="shared" si="21"/>
        <v>0.2012708333333334</v>
      </c>
      <c r="T388" s="22" t="s">
        <v>26</v>
      </c>
      <c r="U388" s="31" t="e">
        <f t="shared" si="19"/>
        <v>#VALUE!</v>
      </c>
      <c r="V388" s="25"/>
      <c r="W388" s="25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</row>
    <row r="389" spans="1:42" ht="12.75" customHeight="1" x14ac:dyDescent="0.2">
      <c r="A389" s="16"/>
      <c r="B389" s="21" t="s">
        <v>406</v>
      </c>
      <c r="C389" s="13">
        <v>44474.943450231483</v>
      </c>
      <c r="D389" s="22">
        <v>-220.02699999999999</v>
      </c>
      <c r="E389" s="22">
        <v>189.565</v>
      </c>
      <c r="F389" s="22">
        <v>60.53</v>
      </c>
      <c r="G389" s="22">
        <v>-101.834</v>
      </c>
      <c r="H389" s="22">
        <v>96.384</v>
      </c>
      <c r="I389" s="22">
        <v>34.823999999999998</v>
      </c>
      <c r="J389" s="22">
        <v>0.188</v>
      </c>
      <c r="K389" s="23">
        <f t="shared" si="20"/>
        <v>0.20512500000000003</v>
      </c>
      <c r="L389" s="22">
        <v>-235.62200000000001</v>
      </c>
      <c r="M389" s="22">
        <v>286.85599999999999</v>
      </c>
      <c r="N389" s="22">
        <v>70.096999999999994</v>
      </c>
      <c r="O389" s="22">
        <v>-144.68700000000001</v>
      </c>
      <c r="P389" s="22">
        <v>133.85499999999999</v>
      </c>
      <c r="Q389" s="22">
        <v>41.155000000000001</v>
      </c>
      <c r="R389" s="22">
        <v>0.188</v>
      </c>
      <c r="S389" s="23">
        <f t="shared" si="21"/>
        <v>0.2012708333333334</v>
      </c>
      <c r="T389" s="22">
        <v>2.3460000000000001</v>
      </c>
      <c r="U389" s="31">
        <f t="shared" si="19"/>
        <v>1.2612903225806451</v>
      </c>
      <c r="V389" s="25"/>
      <c r="W389" s="25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30"/>
    </row>
    <row r="390" spans="1:42" ht="12.75" customHeight="1" x14ac:dyDescent="0.2">
      <c r="A390" s="16"/>
      <c r="B390" s="21" t="s">
        <v>407</v>
      </c>
      <c r="C390" s="13">
        <v>44474.964283506946</v>
      </c>
      <c r="D390" s="22">
        <v>-188.845</v>
      </c>
      <c r="E390" s="22">
        <v>196.77500000000001</v>
      </c>
      <c r="F390" s="22">
        <v>61.494</v>
      </c>
      <c r="G390" s="22">
        <v>-81.863</v>
      </c>
      <c r="H390" s="22">
        <v>110.496</v>
      </c>
      <c r="I390" s="22">
        <v>34.298000000000002</v>
      </c>
      <c r="J390" s="22">
        <v>0.2</v>
      </c>
      <c r="K390" s="23">
        <f t="shared" si="20"/>
        <v>0.20512500000000003</v>
      </c>
      <c r="L390" s="22">
        <v>-284.44099999999997</v>
      </c>
      <c r="M390" s="22">
        <v>229.733</v>
      </c>
      <c r="N390" s="22">
        <v>65.052000000000007</v>
      </c>
      <c r="O390" s="22">
        <v>-120.294</v>
      </c>
      <c r="P390" s="22">
        <v>146.81100000000001</v>
      </c>
      <c r="Q390" s="22">
        <v>37.970999999999997</v>
      </c>
      <c r="R390" s="22">
        <v>0.188</v>
      </c>
      <c r="S390" s="23">
        <f t="shared" si="21"/>
        <v>0.2012708333333334</v>
      </c>
      <c r="T390" s="22" t="s">
        <v>26</v>
      </c>
      <c r="U390" s="31" t="e">
        <f t="shared" si="19"/>
        <v>#VALUE!</v>
      </c>
      <c r="V390" s="25"/>
      <c r="W390" s="25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</row>
    <row r="391" spans="1:42" ht="12.75" customHeight="1" x14ac:dyDescent="0.2">
      <c r="A391" s="16"/>
      <c r="B391" s="21" t="s">
        <v>408</v>
      </c>
      <c r="C391" s="13">
        <v>44474.985116782409</v>
      </c>
      <c r="D391" s="22">
        <v>-180.11</v>
      </c>
      <c r="E391" s="22">
        <v>223.74799999999999</v>
      </c>
      <c r="F391" s="22">
        <v>57.976999999999997</v>
      </c>
      <c r="G391" s="22">
        <v>-95.162000000000006</v>
      </c>
      <c r="H391" s="22">
        <v>104.256</v>
      </c>
      <c r="I391" s="22">
        <v>33.512</v>
      </c>
      <c r="J391" s="22">
        <v>0.188</v>
      </c>
      <c r="K391" s="23">
        <f t="shared" si="20"/>
        <v>0.20512500000000003</v>
      </c>
      <c r="L391" s="22">
        <v>-215.96799999999999</v>
      </c>
      <c r="M391" s="22">
        <v>241.43899999999999</v>
      </c>
      <c r="N391" s="22">
        <v>65.245999999999995</v>
      </c>
      <c r="O391" s="22">
        <v>-112.449</v>
      </c>
      <c r="P391" s="22">
        <v>139.934</v>
      </c>
      <c r="Q391" s="22">
        <v>38.338999999999999</v>
      </c>
      <c r="R391" s="22">
        <v>0.17499999999999999</v>
      </c>
      <c r="S391" s="23">
        <f t="shared" si="21"/>
        <v>0.2012708333333334</v>
      </c>
      <c r="T391" s="22">
        <v>2.2530000000000001</v>
      </c>
      <c r="U391" s="31">
        <f t="shared" si="19"/>
        <v>1.2112903225806451</v>
      </c>
      <c r="V391" s="25"/>
      <c r="W391" s="25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</row>
    <row r="392" spans="1:42" ht="12.75" customHeight="1" x14ac:dyDescent="0.2">
      <c r="A392" s="11">
        <v>9</v>
      </c>
      <c r="B392" s="12" t="s">
        <v>409</v>
      </c>
      <c r="C392" s="13">
        <v>44475.005950057872</v>
      </c>
      <c r="D392" s="14">
        <v>-204.06299999999999</v>
      </c>
      <c r="E392" s="14">
        <v>184.23400000000001</v>
      </c>
      <c r="F392" s="14">
        <v>58.142000000000003</v>
      </c>
      <c r="G392" s="14">
        <v>-71.664000000000001</v>
      </c>
      <c r="H392" s="14">
        <v>122.733</v>
      </c>
      <c r="I392" s="14">
        <v>33.409999999999997</v>
      </c>
      <c r="J392" s="14">
        <v>0.2</v>
      </c>
      <c r="K392" s="15">
        <f>AVERAGE(J392:J439)</f>
        <v>0.20491666666666661</v>
      </c>
      <c r="L392" s="14">
        <v>-203.267</v>
      </c>
      <c r="M392" s="14">
        <v>205.08199999999999</v>
      </c>
      <c r="N392" s="14">
        <v>61.76</v>
      </c>
      <c r="O392" s="14">
        <v>-109.89</v>
      </c>
      <c r="P392" s="14">
        <v>111.303</v>
      </c>
      <c r="Q392" s="14">
        <v>36.1</v>
      </c>
      <c r="R392" s="14">
        <v>0.2</v>
      </c>
      <c r="S392" s="15">
        <f>AVERAGE(R392:R439)</f>
        <v>0.20229166666666656</v>
      </c>
      <c r="T392" s="14" t="s">
        <v>26</v>
      </c>
      <c r="U392" s="31" t="e">
        <f t="shared" si="19"/>
        <v>#VALUE!</v>
      </c>
      <c r="V392" s="2"/>
      <c r="W392" s="2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2.75" customHeight="1" x14ac:dyDescent="0.2">
      <c r="A393" s="16"/>
      <c r="B393" s="12" t="s">
        <v>410</v>
      </c>
      <c r="C393" s="13">
        <v>44475.026783333335</v>
      </c>
      <c r="D393" s="14">
        <v>-214.11600000000001</v>
      </c>
      <c r="E393" s="14">
        <v>173.649</v>
      </c>
      <c r="F393" s="14">
        <v>56.011000000000003</v>
      </c>
      <c r="G393" s="14">
        <v>-89.905000000000001</v>
      </c>
      <c r="H393" s="14">
        <v>82.478999999999999</v>
      </c>
      <c r="I393" s="14">
        <v>32.045000000000002</v>
      </c>
      <c r="J393" s="14">
        <v>0.22500000000000001</v>
      </c>
      <c r="K393" s="15">
        <f t="shared" ref="K393:K439" si="22">K392</f>
        <v>0.20491666666666661</v>
      </c>
      <c r="L393" s="14">
        <v>-216.767</v>
      </c>
      <c r="M393" s="14">
        <v>239.79400000000001</v>
      </c>
      <c r="N393" s="14">
        <v>65.320999999999998</v>
      </c>
      <c r="O393" s="14">
        <v>-113.523</v>
      </c>
      <c r="P393" s="14">
        <v>114.70699999999999</v>
      </c>
      <c r="Q393" s="14">
        <v>37.853999999999999</v>
      </c>
      <c r="R393" s="14">
        <v>0.188</v>
      </c>
      <c r="S393" s="15">
        <f t="shared" ref="S393:S439" si="23">S392</f>
        <v>0.20229166666666656</v>
      </c>
      <c r="T393" s="14">
        <v>1.99</v>
      </c>
      <c r="U393" s="31">
        <f t="shared" ref="U393:U456" si="24">T393/1.86</f>
        <v>1.0698924731182795</v>
      </c>
      <c r="V393" s="2"/>
      <c r="W393" s="2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2.75" customHeight="1" x14ac:dyDescent="0.2">
      <c r="A394" s="16"/>
      <c r="B394" s="12" t="s">
        <v>411</v>
      </c>
      <c r="C394" s="13">
        <v>44475.047616608797</v>
      </c>
      <c r="D394" s="14">
        <v>-223.07599999999999</v>
      </c>
      <c r="E394" s="14">
        <v>220.161</v>
      </c>
      <c r="F394" s="14">
        <v>59.716000000000001</v>
      </c>
      <c r="G394" s="14">
        <v>-129.55699999999999</v>
      </c>
      <c r="H394" s="14">
        <v>85.028000000000006</v>
      </c>
      <c r="I394" s="14">
        <v>33.817</v>
      </c>
      <c r="J394" s="14">
        <v>0.2</v>
      </c>
      <c r="K394" s="15">
        <f t="shared" si="22"/>
        <v>0.20491666666666661</v>
      </c>
      <c r="L394" s="14">
        <v>-257.71300000000002</v>
      </c>
      <c r="M394" s="14">
        <v>235.09800000000001</v>
      </c>
      <c r="N394" s="14">
        <v>66.703999999999994</v>
      </c>
      <c r="O394" s="14">
        <v>-107.194</v>
      </c>
      <c r="P394" s="14">
        <v>131.06800000000001</v>
      </c>
      <c r="Q394" s="14">
        <v>38.776000000000003</v>
      </c>
      <c r="R394" s="14">
        <v>0.188</v>
      </c>
      <c r="S394" s="15">
        <f t="shared" si="23"/>
        <v>0.20229166666666656</v>
      </c>
      <c r="T394" s="14" t="s">
        <v>26</v>
      </c>
      <c r="U394" s="31" t="e">
        <f t="shared" si="24"/>
        <v>#VALUE!</v>
      </c>
      <c r="V394" s="2"/>
      <c r="W394" s="2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2.75" customHeight="1" x14ac:dyDescent="0.2">
      <c r="A395" s="16"/>
      <c r="B395" s="12" t="s">
        <v>412</v>
      </c>
      <c r="C395" s="13">
        <v>44475.06844988426</v>
      </c>
      <c r="D395" s="14">
        <v>-192.44800000000001</v>
      </c>
      <c r="E395" s="14">
        <v>183.559</v>
      </c>
      <c r="F395" s="14">
        <v>57.991999999999997</v>
      </c>
      <c r="G395" s="14">
        <v>-113.157</v>
      </c>
      <c r="H395" s="14">
        <v>81.534000000000006</v>
      </c>
      <c r="I395" s="14">
        <v>32.545999999999999</v>
      </c>
      <c r="J395" s="14">
        <v>0.22500000000000001</v>
      </c>
      <c r="K395" s="15">
        <f t="shared" si="22"/>
        <v>0.20491666666666661</v>
      </c>
      <c r="L395" s="14">
        <v>-209.71199999999999</v>
      </c>
      <c r="M395" s="14">
        <v>239.00899999999999</v>
      </c>
      <c r="N395" s="14">
        <v>65.826999999999998</v>
      </c>
      <c r="O395" s="14">
        <v>-136.61000000000001</v>
      </c>
      <c r="P395" s="14">
        <v>108.223</v>
      </c>
      <c r="Q395" s="14">
        <v>37.271999999999998</v>
      </c>
      <c r="R395" s="14">
        <v>0.2</v>
      </c>
      <c r="S395" s="15">
        <f t="shared" si="23"/>
        <v>0.20229166666666656</v>
      </c>
      <c r="T395" s="14">
        <v>2.4180000000000001</v>
      </c>
      <c r="U395" s="31">
        <f t="shared" si="24"/>
        <v>1.3</v>
      </c>
      <c r="V395" s="2"/>
      <c r="W395" s="2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2.75" customHeight="1" x14ac:dyDescent="0.2">
      <c r="A396" s="16"/>
      <c r="B396" s="12" t="s">
        <v>413</v>
      </c>
      <c r="C396" s="13">
        <v>44475.089283159723</v>
      </c>
      <c r="D396" s="14">
        <v>-235.69499999999999</v>
      </c>
      <c r="E396" s="14">
        <v>241.07900000000001</v>
      </c>
      <c r="F396" s="14">
        <v>57.268000000000001</v>
      </c>
      <c r="G396" s="14">
        <v>-134.017</v>
      </c>
      <c r="H396" s="14">
        <v>97.138999999999996</v>
      </c>
      <c r="I396" s="14">
        <v>32.194000000000003</v>
      </c>
      <c r="J396" s="14">
        <v>0.2</v>
      </c>
      <c r="K396" s="15">
        <f t="shared" si="22"/>
        <v>0.20491666666666661</v>
      </c>
      <c r="L396" s="14">
        <v>-214.643</v>
      </c>
      <c r="M396" s="14">
        <v>231.35300000000001</v>
      </c>
      <c r="N396" s="14">
        <v>63.737000000000002</v>
      </c>
      <c r="O396" s="14">
        <v>-115.389</v>
      </c>
      <c r="P396" s="14">
        <v>110.78</v>
      </c>
      <c r="Q396" s="14">
        <v>36.652000000000001</v>
      </c>
      <c r="R396" s="14">
        <v>0.21299999999999999</v>
      </c>
      <c r="S396" s="15">
        <f t="shared" si="23"/>
        <v>0.20229166666666656</v>
      </c>
      <c r="T396" s="14" t="s">
        <v>26</v>
      </c>
      <c r="U396" s="31" t="e">
        <f t="shared" si="24"/>
        <v>#VALUE!</v>
      </c>
      <c r="V396" s="2"/>
      <c r="W396" s="2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2.75" customHeight="1" x14ac:dyDescent="0.2">
      <c r="A397" s="16"/>
      <c r="B397" s="12" t="s">
        <v>414</v>
      </c>
      <c r="C397" s="13">
        <v>44475.110116435186</v>
      </c>
      <c r="D397" s="14">
        <v>-199.51900000000001</v>
      </c>
      <c r="E397" s="14">
        <v>217.87899999999999</v>
      </c>
      <c r="F397" s="14">
        <v>61.811999999999998</v>
      </c>
      <c r="G397" s="14">
        <v>-133.922</v>
      </c>
      <c r="H397" s="14">
        <v>88.692999999999998</v>
      </c>
      <c r="I397" s="14">
        <v>36.15</v>
      </c>
      <c r="J397" s="14">
        <v>0.21299999999999999</v>
      </c>
      <c r="K397" s="15">
        <f t="shared" si="22"/>
        <v>0.20491666666666661</v>
      </c>
      <c r="L397" s="14">
        <v>-261.416</v>
      </c>
      <c r="M397" s="14">
        <v>357.99900000000002</v>
      </c>
      <c r="N397" s="14">
        <v>72.933999999999997</v>
      </c>
      <c r="O397" s="14">
        <v>-179.80099999999999</v>
      </c>
      <c r="P397" s="14">
        <v>131.071</v>
      </c>
      <c r="Q397" s="14">
        <v>41.686</v>
      </c>
      <c r="R397" s="14">
        <v>0.22500000000000001</v>
      </c>
      <c r="S397" s="15">
        <f t="shared" si="23"/>
        <v>0.20229166666666656</v>
      </c>
      <c r="T397" s="14">
        <v>3.0510000000000002</v>
      </c>
      <c r="U397" s="31">
        <f t="shared" si="24"/>
        <v>1.6403225806451613</v>
      </c>
      <c r="V397" s="2"/>
      <c r="W397" s="2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2.75" customHeight="1" x14ac:dyDescent="0.2">
      <c r="A398" s="16"/>
      <c r="B398" s="12" t="s">
        <v>415</v>
      </c>
      <c r="C398" s="13">
        <v>44475.130949710649</v>
      </c>
      <c r="D398" s="14">
        <v>-211.31100000000001</v>
      </c>
      <c r="E398" s="14">
        <v>220.89</v>
      </c>
      <c r="F398" s="14">
        <v>63.832000000000001</v>
      </c>
      <c r="G398" s="14">
        <v>-103.876</v>
      </c>
      <c r="H398" s="14">
        <v>100.396</v>
      </c>
      <c r="I398" s="14">
        <v>36.902000000000001</v>
      </c>
      <c r="J398" s="14">
        <v>0.2</v>
      </c>
      <c r="K398" s="15">
        <f t="shared" si="22"/>
        <v>0.20491666666666661</v>
      </c>
      <c r="L398" s="14">
        <v>-260.37799999999999</v>
      </c>
      <c r="M398" s="14">
        <v>296.733</v>
      </c>
      <c r="N398" s="14">
        <v>76.123000000000005</v>
      </c>
      <c r="O398" s="14">
        <v>-141.51400000000001</v>
      </c>
      <c r="P398" s="14">
        <v>140.30600000000001</v>
      </c>
      <c r="Q398" s="14">
        <v>44.235999999999997</v>
      </c>
      <c r="R398" s="14">
        <v>0.188</v>
      </c>
      <c r="S398" s="15">
        <f t="shared" si="23"/>
        <v>0.20229166666666656</v>
      </c>
      <c r="T398" s="14" t="s">
        <v>26</v>
      </c>
      <c r="U398" s="31" t="e">
        <f t="shared" si="24"/>
        <v>#VALUE!</v>
      </c>
      <c r="V398" s="2"/>
      <c r="W398" s="2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2.75" customHeight="1" x14ac:dyDescent="0.2">
      <c r="A399" s="16"/>
      <c r="B399" s="12" t="s">
        <v>416</v>
      </c>
      <c r="C399" s="13">
        <v>44475.151782986111</v>
      </c>
      <c r="D399" s="14">
        <v>-210.761</v>
      </c>
      <c r="E399" s="14">
        <v>245.499</v>
      </c>
      <c r="F399" s="14">
        <v>65.673000000000002</v>
      </c>
      <c r="G399" s="14">
        <v>-120.824</v>
      </c>
      <c r="H399" s="14">
        <v>106.054</v>
      </c>
      <c r="I399" s="14">
        <v>39.165999999999997</v>
      </c>
      <c r="J399" s="14">
        <v>0.188</v>
      </c>
      <c r="K399" s="15">
        <f t="shared" si="22"/>
        <v>0.20491666666666661</v>
      </c>
      <c r="L399" s="14">
        <v>-274.51299999999998</v>
      </c>
      <c r="M399" s="14">
        <v>283.36900000000003</v>
      </c>
      <c r="N399" s="14">
        <v>80.063000000000002</v>
      </c>
      <c r="O399" s="14">
        <v>-146.208</v>
      </c>
      <c r="P399" s="14">
        <v>150.44200000000001</v>
      </c>
      <c r="Q399" s="14">
        <v>47.779000000000003</v>
      </c>
      <c r="R399" s="14">
        <v>0.188</v>
      </c>
      <c r="S399" s="15">
        <f t="shared" si="23"/>
        <v>0.20229166666666656</v>
      </c>
      <c r="T399" s="14">
        <v>2.1970000000000001</v>
      </c>
      <c r="U399" s="31">
        <f t="shared" si="24"/>
        <v>1.1811827956989247</v>
      </c>
      <c r="V399" s="2"/>
      <c r="W399" s="2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2.75" customHeight="1" x14ac:dyDescent="0.2">
      <c r="A400" s="16"/>
      <c r="B400" s="12" t="s">
        <v>417</v>
      </c>
      <c r="C400" s="13">
        <v>44475.172616261574</v>
      </c>
      <c r="D400" s="14">
        <v>-207.77699999999999</v>
      </c>
      <c r="E400" s="14">
        <v>245.667</v>
      </c>
      <c r="F400" s="14">
        <v>64.227000000000004</v>
      </c>
      <c r="G400" s="14">
        <v>-111.748</v>
      </c>
      <c r="H400" s="14">
        <v>102.807</v>
      </c>
      <c r="I400" s="14">
        <v>37.908000000000001</v>
      </c>
      <c r="J400" s="14">
        <v>0.21299999999999999</v>
      </c>
      <c r="K400" s="15">
        <f t="shared" si="22"/>
        <v>0.20491666666666661</v>
      </c>
      <c r="L400" s="14">
        <v>-276.19900000000001</v>
      </c>
      <c r="M400" s="14">
        <v>269.69200000000001</v>
      </c>
      <c r="N400" s="14">
        <v>83.344999999999999</v>
      </c>
      <c r="O400" s="14">
        <v>-142.83699999999999</v>
      </c>
      <c r="P400" s="14">
        <v>160.048</v>
      </c>
      <c r="Q400" s="14">
        <v>48.756</v>
      </c>
      <c r="R400" s="14">
        <v>0.188</v>
      </c>
      <c r="S400" s="15">
        <f t="shared" si="23"/>
        <v>0.20229166666666656</v>
      </c>
      <c r="T400" s="14" t="s">
        <v>26</v>
      </c>
      <c r="U400" s="31" t="e">
        <f t="shared" si="24"/>
        <v>#VALUE!</v>
      </c>
      <c r="V400" s="2"/>
      <c r="W400" s="2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2.75" customHeight="1" x14ac:dyDescent="0.2">
      <c r="A401" s="16"/>
      <c r="B401" s="12" t="s">
        <v>418</v>
      </c>
      <c r="C401" s="13">
        <v>44475.193449537037</v>
      </c>
      <c r="D401" s="14">
        <v>-226.44300000000001</v>
      </c>
      <c r="E401" s="14">
        <v>227.12200000000001</v>
      </c>
      <c r="F401" s="14">
        <v>66.430999999999997</v>
      </c>
      <c r="G401" s="14">
        <v>-112.934</v>
      </c>
      <c r="H401" s="14">
        <v>141.11199999999999</v>
      </c>
      <c r="I401" s="14">
        <v>40.054000000000002</v>
      </c>
      <c r="J401" s="14">
        <v>0.2</v>
      </c>
      <c r="K401" s="15">
        <f t="shared" si="22"/>
        <v>0.20491666666666661</v>
      </c>
      <c r="L401" s="14">
        <v>-281.34500000000003</v>
      </c>
      <c r="M401" s="14">
        <v>281.34199999999998</v>
      </c>
      <c r="N401" s="14">
        <v>79.126999999999995</v>
      </c>
      <c r="O401" s="14">
        <v>-119.941</v>
      </c>
      <c r="P401" s="14">
        <v>173.54900000000001</v>
      </c>
      <c r="Q401" s="14">
        <v>47.252000000000002</v>
      </c>
      <c r="R401" s="14">
        <v>0.2</v>
      </c>
      <c r="S401" s="15">
        <f t="shared" si="23"/>
        <v>0.20229166666666656</v>
      </c>
      <c r="T401" s="14">
        <v>2.2250000000000001</v>
      </c>
      <c r="U401" s="31">
        <f t="shared" si="24"/>
        <v>1.196236559139785</v>
      </c>
      <c r="V401" s="2"/>
      <c r="W401" s="2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2.75" customHeight="1" x14ac:dyDescent="0.2">
      <c r="A402" s="16"/>
      <c r="B402" s="12" t="s">
        <v>419</v>
      </c>
      <c r="C402" s="13">
        <v>44475.2142828125</v>
      </c>
      <c r="D402" s="14">
        <v>-196.57300000000001</v>
      </c>
      <c r="E402" s="14">
        <v>245.768</v>
      </c>
      <c r="F402" s="14">
        <v>67.257000000000005</v>
      </c>
      <c r="G402" s="14">
        <v>-133.601</v>
      </c>
      <c r="H402" s="14">
        <v>98.475999999999999</v>
      </c>
      <c r="I402" s="14">
        <v>40.640999999999998</v>
      </c>
      <c r="J402" s="14">
        <v>0.188</v>
      </c>
      <c r="K402" s="15">
        <f t="shared" si="22"/>
        <v>0.20491666666666661</v>
      </c>
      <c r="L402" s="14">
        <v>-275.41199999999998</v>
      </c>
      <c r="M402" s="14">
        <v>319.59100000000001</v>
      </c>
      <c r="N402" s="14">
        <v>79.808999999999997</v>
      </c>
      <c r="O402" s="14">
        <v>-168.852</v>
      </c>
      <c r="P402" s="14">
        <v>140.542</v>
      </c>
      <c r="Q402" s="14">
        <v>48.459000000000003</v>
      </c>
      <c r="R402" s="14">
        <v>0.188</v>
      </c>
      <c r="S402" s="15">
        <f t="shared" si="23"/>
        <v>0.20229166666666656</v>
      </c>
      <c r="T402" s="14" t="s">
        <v>26</v>
      </c>
      <c r="U402" s="31" t="e">
        <f t="shared" si="24"/>
        <v>#VALUE!</v>
      </c>
      <c r="V402" s="2"/>
      <c r="W402" s="2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2.75" customHeight="1" x14ac:dyDescent="0.2">
      <c r="A403" s="16"/>
      <c r="B403" s="12" t="s">
        <v>420</v>
      </c>
      <c r="C403" s="13">
        <v>44475.235116087963</v>
      </c>
      <c r="D403" s="14">
        <v>-207.30199999999999</v>
      </c>
      <c r="E403" s="14">
        <v>244.334</v>
      </c>
      <c r="F403" s="14">
        <v>66.834000000000003</v>
      </c>
      <c r="G403" s="14">
        <v>-131.83000000000001</v>
      </c>
      <c r="H403" s="14">
        <v>109.108</v>
      </c>
      <c r="I403" s="14">
        <v>39.399000000000001</v>
      </c>
      <c r="J403" s="14">
        <v>0.2</v>
      </c>
      <c r="K403" s="15">
        <f t="shared" si="22"/>
        <v>0.20491666666666661</v>
      </c>
      <c r="L403" s="14">
        <v>-286.88</v>
      </c>
      <c r="M403" s="14">
        <v>299.08999999999997</v>
      </c>
      <c r="N403" s="14">
        <v>81.52</v>
      </c>
      <c r="O403" s="14">
        <v>-171.084</v>
      </c>
      <c r="P403" s="14">
        <v>142.679</v>
      </c>
      <c r="Q403" s="14">
        <v>47.826000000000001</v>
      </c>
      <c r="R403" s="14">
        <v>0.2</v>
      </c>
      <c r="S403" s="15">
        <f t="shared" si="23"/>
        <v>0.20229166666666656</v>
      </c>
      <c r="T403" s="14">
        <v>2.2559999999999998</v>
      </c>
      <c r="U403" s="31">
        <f t="shared" si="24"/>
        <v>1.2129032258064514</v>
      </c>
      <c r="V403" s="2"/>
      <c r="W403" s="2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2.75" customHeight="1" x14ac:dyDescent="0.2">
      <c r="A404" s="16"/>
      <c r="B404" s="12" t="s">
        <v>421</v>
      </c>
      <c r="C404" s="13">
        <v>44475.255949363425</v>
      </c>
      <c r="D404" s="14">
        <v>-194.61099999999999</v>
      </c>
      <c r="E404" s="14">
        <v>237.5</v>
      </c>
      <c r="F404" s="14">
        <v>67.236999999999995</v>
      </c>
      <c r="G404" s="14">
        <v>-110.21599999999999</v>
      </c>
      <c r="H404" s="14">
        <v>112.41800000000001</v>
      </c>
      <c r="I404" s="14">
        <v>39.164000000000001</v>
      </c>
      <c r="J404" s="14">
        <v>0.21299999999999999</v>
      </c>
      <c r="K404" s="15">
        <f t="shared" si="22"/>
        <v>0.20491666666666661</v>
      </c>
      <c r="L404" s="14">
        <v>-271.81599999999997</v>
      </c>
      <c r="M404" s="14">
        <v>306.26100000000002</v>
      </c>
      <c r="N404" s="14">
        <v>81.692999999999998</v>
      </c>
      <c r="O404" s="14">
        <v>-154.83000000000001</v>
      </c>
      <c r="P404" s="14">
        <v>158.55500000000001</v>
      </c>
      <c r="Q404" s="14">
        <v>48.542000000000002</v>
      </c>
      <c r="R404" s="14">
        <v>0.2</v>
      </c>
      <c r="S404" s="15">
        <f t="shared" si="23"/>
        <v>0.20229166666666656</v>
      </c>
      <c r="T404" s="14" t="s">
        <v>26</v>
      </c>
      <c r="U404" s="31" t="e">
        <f t="shared" si="24"/>
        <v>#VALUE!</v>
      </c>
      <c r="V404" s="2"/>
      <c r="W404" s="2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2.75" customHeight="1" x14ac:dyDescent="0.2">
      <c r="A405" s="16"/>
      <c r="B405" s="12" t="s">
        <v>422</v>
      </c>
      <c r="C405" s="13">
        <v>44475.276782638888</v>
      </c>
      <c r="D405" s="14">
        <v>-205.364</v>
      </c>
      <c r="E405" s="14">
        <v>247.71799999999999</v>
      </c>
      <c r="F405" s="14">
        <v>62.15</v>
      </c>
      <c r="G405" s="14">
        <v>-120.7</v>
      </c>
      <c r="H405" s="14">
        <v>97.022000000000006</v>
      </c>
      <c r="I405" s="14">
        <v>35.884</v>
      </c>
      <c r="J405" s="14">
        <v>0.21299999999999999</v>
      </c>
      <c r="K405" s="15">
        <f t="shared" si="22"/>
        <v>0.20491666666666661</v>
      </c>
      <c r="L405" s="14">
        <v>-261.31099999999998</v>
      </c>
      <c r="M405" s="14">
        <v>300.60700000000003</v>
      </c>
      <c r="N405" s="14">
        <v>78.207999999999998</v>
      </c>
      <c r="O405" s="14">
        <v>-133.458</v>
      </c>
      <c r="P405" s="14">
        <v>123.02</v>
      </c>
      <c r="Q405" s="14">
        <v>44.866</v>
      </c>
      <c r="R405" s="14">
        <v>0.188</v>
      </c>
      <c r="S405" s="15">
        <f t="shared" si="23"/>
        <v>0.20229166666666656</v>
      </c>
      <c r="T405" s="14">
        <v>1.8979999999999999</v>
      </c>
      <c r="U405" s="31">
        <f t="shared" si="24"/>
        <v>1.0204301075268816</v>
      </c>
      <c r="V405" s="2"/>
      <c r="W405" s="2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2.75" customHeight="1" x14ac:dyDescent="0.2">
      <c r="A406" s="16"/>
      <c r="B406" s="12" t="s">
        <v>423</v>
      </c>
      <c r="C406" s="13">
        <v>44475.297615914351</v>
      </c>
      <c r="D406" s="14">
        <v>-218.56100000000001</v>
      </c>
      <c r="E406" s="14">
        <v>236.18299999999999</v>
      </c>
      <c r="F406" s="14">
        <v>67.366</v>
      </c>
      <c r="G406" s="14">
        <v>-109.874</v>
      </c>
      <c r="H406" s="14">
        <v>109.377</v>
      </c>
      <c r="I406" s="14">
        <v>38.567</v>
      </c>
      <c r="J406" s="14">
        <v>0.21299999999999999</v>
      </c>
      <c r="K406" s="15">
        <f t="shared" si="22"/>
        <v>0.20491666666666661</v>
      </c>
      <c r="L406" s="14">
        <v>-296.291</v>
      </c>
      <c r="M406" s="14">
        <v>339.38900000000001</v>
      </c>
      <c r="N406" s="14">
        <v>83.906999999999996</v>
      </c>
      <c r="O406" s="14">
        <v>-144.36799999999999</v>
      </c>
      <c r="P406" s="14">
        <v>141.22900000000001</v>
      </c>
      <c r="Q406" s="14">
        <v>48.863</v>
      </c>
      <c r="R406" s="14">
        <v>0.21299999999999999</v>
      </c>
      <c r="S406" s="15">
        <f t="shared" si="23"/>
        <v>0.20229166666666656</v>
      </c>
      <c r="T406" s="14" t="s">
        <v>26</v>
      </c>
      <c r="U406" s="31" t="e">
        <f t="shared" si="24"/>
        <v>#VALUE!</v>
      </c>
      <c r="V406" s="2"/>
      <c r="W406" s="2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2.75" customHeight="1" x14ac:dyDescent="0.2">
      <c r="A407" s="16"/>
      <c r="B407" s="12" t="s">
        <v>424</v>
      </c>
      <c r="C407" s="13">
        <v>44475.318449189814</v>
      </c>
      <c r="D407" s="14">
        <v>-210.02099999999999</v>
      </c>
      <c r="E407" s="14">
        <v>242.554</v>
      </c>
      <c r="F407" s="14">
        <v>67.343000000000004</v>
      </c>
      <c r="G407" s="14">
        <v>-112.553</v>
      </c>
      <c r="H407" s="14">
        <v>114.432</v>
      </c>
      <c r="I407" s="14">
        <v>38.783000000000001</v>
      </c>
      <c r="J407" s="14">
        <v>0.2</v>
      </c>
      <c r="K407" s="15">
        <f t="shared" si="22"/>
        <v>0.20491666666666661</v>
      </c>
      <c r="L407" s="14">
        <v>-294.57</v>
      </c>
      <c r="M407" s="14">
        <v>301.70400000000001</v>
      </c>
      <c r="N407" s="14">
        <v>85.313000000000002</v>
      </c>
      <c r="O407" s="14">
        <v>-159.87299999999999</v>
      </c>
      <c r="P407" s="14">
        <v>162.20699999999999</v>
      </c>
      <c r="Q407" s="14">
        <v>51.125</v>
      </c>
      <c r="R407" s="14">
        <v>0.2</v>
      </c>
      <c r="S407" s="15">
        <f t="shared" si="23"/>
        <v>0.20229166666666656</v>
      </c>
      <c r="T407" s="14">
        <v>2.524</v>
      </c>
      <c r="U407" s="31">
        <f t="shared" si="24"/>
        <v>1.3569892473118279</v>
      </c>
      <c r="V407" s="2"/>
      <c r="W407" s="2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2.75" customHeight="1" x14ac:dyDescent="0.2">
      <c r="A408" s="16"/>
      <c r="B408" s="12" t="s">
        <v>425</v>
      </c>
      <c r="C408" s="13">
        <v>44475.339282465276</v>
      </c>
      <c r="D408" s="14">
        <v>-187.96600000000001</v>
      </c>
      <c r="E408" s="14">
        <v>214.75200000000001</v>
      </c>
      <c r="F408" s="14">
        <v>64.991</v>
      </c>
      <c r="G408" s="14">
        <v>-98.343000000000004</v>
      </c>
      <c r="H408" s="14">
        <v>108.712</v>
      </c>
      <c r="I408" s="14">
        <v>36.572000000000003</v>
      </c>
      <c r="J408" s="14">
        <v>0.2</v>
      </c>
      <c r="K408" s="15">
        <f t="shared" si="22"/>
        <v>0.20491666666666661</v>
      </c>
      <c r="L408" s="14">
        <v>-282.17200000000003</v>
      </c>
      <c r="M408" s="14">
        <v>297.46199999999999</v>
      </c>
      <c r="N408" s="14">
        <v>79.855000000000004</v>
      </c>
      <c r="O408" s="14">
        <v>-155.28200000000001</v>
      </c>
      <c r="P408" s="14">
        <v>159.661</v>
      </c>
      <c r="Q408" s="14">
        <v>46.991</v>
      </c>
      <c r="R408" s="14">
        <v>0.2</v>
      </c>
      <c r="S408" s="15">
        <f t="shared" si="23"/>
        <v>0.20229166666666656</v>
      </c>
      <c r="T408" s="14" t="s">
        <v>26</v>
      </c>
      <c r="U408" s="31" t="e">
        <f t="shared" si="24"/>
        <v>#VALUE!</v>
      </c>
      <c r="V408" s="2"/>
      <c r="W408" s="2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2.75" customHeight="1" x14ac:dyDescent="0.2">
      <c r="A409" s="16"/>
      <c r="B409" s="12" t="s">
        <v>426</v>
      </c>
      <c r="C409" s="13">
        <v>44475.360115740739</v>
      </c>
      <c r="D409" s="14">
        <v>-222.34100000000001</v>
      </c>
      <c r="E409" s="14">
        <v>225.01599999999999</v>
      </c>
      <c r="F409" s="14">
        <v>63.395000000000003</v>
      </c>
      <c r="G409" s="14">
        <v>-123.63200000000001</v>
      </c>
      <c r="H409" s="14">
        <v>95.046000000000006</v>
      </c>
      <c r="I409" s="14">
        <v>37.405999999999999</v>
      </c>
      <c r="J409" s="14">
        <v>0.188</v>
      </c>
      <c r="K409" s="15">
        <f t="shared" si="22"/>
        <v>0.20491666666666661</v>
      </c>
      <c r="L409" s="14">
        <v>-331.83100000000002</v>
      </c>
      <c r="M409" s="14">
        <v>304.89499999999998</v>
      </c>
      <c r="N409" s="14">
        <v>75.182000000000002</v>
      </c>
      <c r="O409" s="14">
        <v>-181.77099999999999</v>
      </c>
      <c r="P409" s="14">
        <v>156.82499999999999</v>
      </c>
      <c r="Q409" s="14">
        <v>46.588999999999999</v>
      </c>
      <c r="R409" s="14">
        <v>0.188</v>
      </c>
      <c r="S409" s="15">
        <f t="shared" si="23"/>
        <v>0.20229166666666656</v>
      </c>
      <c r="T409" s="14">
        <v>2.3159999999999998</v>
      </c>
      <c r="U409" s="31">
        <f t="shared" si="24"/>
        <v>1.2451612903225804</v>
      </c>
      <c r="V409" s="2"/>
      <c r="W409" s="2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2.75" customHeight="1" x14ac:dyDescent="0.2">
      <c r="A410" s="16"/>
      <c r="B410" s="12" t="s">
        <v>427</v>
      </c>
      <c r="C410" s="13">
        <v>44475.380949016202</v>
      </c>
      <c r="D410" s="14">
        <v>-190.7</v>
      </c>
      <c r="E410" s="14">
        <v>224.19200000000001</v>
      </c>
      <c r="F410" s="14">
        <v>59.302999999999997</v>
      </c>
      <c r="G410" s="14">
        <v>-100.63200000000001</v>
      </c>
      <c r="H410" s="14">
        <v>101.2</v>
      </c>
      <c r="I410" s="14">
        <v>34.688000000000002</v>
      </c>
      <c r="J410" s="14">
        <v>0.188</v>
      </c>
      <c r="K410" s="15">
        <f t="shared" si="22"/>
        <v>0.20491666666666661</v>
      </c>
      <c r="L410" s="14">
        <v>-290.74</v>
      </c>
      <c r="M410" s="14">
        <v>325.02100000000002</v>
      </c>
      <c r="N410" s="14">
        <v>74.043999999999997</v>
      </c>
      <c r="O410" s="14">
        <v>-148.053</v>
      </c>
      <c r="P410" s="14">
        <v>157.16900000000001</v>
      </c>
      <c r="Q410" s="14">
        <v>45.725999999999999</v>
      </c>
      <c r="R410" s="14">
        <v>0.188</v>
      </c>
      <c r="S410" s="15">
        <f t="shared" si="23"/>
        <v>0.20229166666666656</v>
      </c>
      <c r="T410" s="14" t="s">
        <v>26</v>
      </c>
      <c r="U410" s="31" t="e">
        <f t="shared" si="24"/>
        <v>#VALUE!</v>
      </c>
      <c r="V410" s="2"/>
      <c r="W410" s="2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2.75" customHeight="1" x14ac:dyDescent="0.2">
      <c r="A411" s="16"/>
      <c r="B411" s="12" t="s">
        <v>428</v>
      </c>
      <c r="C411" s="13">
        <v>44475.401782291665</v>
      </c>
      <c r="D411" s="14">
        <v>-204.83799999999999</v>
      </c>
      <c r="E411" s="14">
        <v>199.53200000000001</v>
      </c>
      <c r="F411" s="14">
        <v>59.473999999999997</v>
      </c>
      <c r="G411" s="14">
        <v>-93.409000000000006</v>
      </c>
      <c r="H411" s="14">
        <v>101.922</v>
      </c>
      <c r="I411" s="14">
        <v>34.414000000000001</v>
      </c>
      <c r="J411" s="14">
        <v>0.2</v>
      </c>
      <c r="K411" s="15">
        <f t="shared" si="22"/>
        <v>0.20491666666666661</v>
      </c>
      <c r="L411" s="14">
        <v>-243.05699999999999</v>
      </c>
      <c r="M411" s="14">
        <v>268.661</v>
      </c>
      <c r="N411" s="14">
        <v>69.003</v>
      </c>
      <c r="O411" s="14">
        <v>-130.99700000000001</v>
      </c>
      <c r="P411" s="14">
        <v>139.04</v>
      </c>
      <c r="Q411" s="14">
        <v>41.064</v>
      </c>
      <c r="R411" s="14">
        <v>0.2</v>
      </c>
      <c r="S411" s="15">
        <f t="shared" si="23"/>
        <v>0.20229166666666656</v>
      </c>
      <c r="T411" s="14">
        <v>2.2759999999999998</v>
      </c>
      <c r="U411" s="31">
        <f t="shared" si="24"/>
        <v>1.2236559139784944</v>
      </c>
      <c r="V411" s="2"/>
      <c r="W411" s="2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2.75" customHeight="1" x14ac:dyDescent="0.2">
      <c r="A412" s="16"/>
      <c r="B412" s="12" t="s">
        <v>429</v>
      </c>
      <c r="C412" s="13">
        <v>44475.422615567128</v>
      </c>
      <c r="D412" s="14">
        <v>-199.85400000000001</v>
      </c>
      <c r="E412" s="14">
        <v>218.27600000000001</v>
      </c>
      <c r="F412" s="14">
        <v>59.100999999999999</v>
      </c>
      <c r="G412" s="14">
        <v>-120.849</v>
      </c>
      <c r="H412" s="14">
        <v>108.16200000000001</v>
      </c>
      <c r="I412" s="14">
        <v>32.698999999999998</v>
      </c>
      <c r="J412" s="14">
        <v>0.21299999999999999</v>
      </c>
      <c r="K412" s="15">
        <f t="shared" si="22"/>
        <v>0.20491666666666661</v>
      </c>
      <c r="L412" s="14">
        <v>-225.41</v>
      </c>
      <c r="M412" s="14">
        <v>271.50900000000001</v>
      </c>
      <c r="N412" s="14">
        <v>67.817999999999998</v>
      </c>
      <c r="O412" s="14">
        <v>-135.37299999999999</v>
      </c>
      <c r="P412" s="14">
        <v>115.736</v>
      </c>
      <c r="Q412" s="14">
        <v>39.334000000000003</v>
      </c>
      <c r="R412" s="14">
        <v>0.22500000000000001</v>
      </c>
      <c r="S412" s="15">
        <f t="shared" si="23"/>
        <v>0.20229166666666656</v>
      </c>
      <c r="T412" s="14" t="s">
        <v>26</v>
      </c>
      <c r="U412" s="31" t="e">
        <f t="shared" si="24"/>
        <v>#VALUE!</v>
      </c>
      <c r="V412" s="2"/>
      <c r="W412" s="2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2.75" customHeight="1" x14ac:dyDescent="0.2">
      <c r="A413" s="16"/>
      <c r="B413" s="12" t="s">
        <v>430</v>
      </c>
      <c r="C413" s="13">
        <v>44475.44344884259</v>
      </c>
      <c r="D413" s="14">
        <v>-192.828</v>
      </c>
      <c r="E413" s="14">
        <v>199.084</v>
      </c>
      <c r="F413" s="14">
        <v>58.482999999999997</v>
      </c>
      <c r="G413" s="14">
        <v>-121.063</v>
      </c>
      <c r="H413" s="14">
        <v>88.593000000000004</v>
      </c>
      <c r="I413" s="14">
        <v>34.781999999999996</v>
      </c>
      <c r="J413" s="14">
        <v>0.188</v>
      </c>
      <c r="K413" s="15">
        <f t="shared" si="22"/>
        <v>0.20491666666666661</v>
      </c>
      <c r="L413" s="14">
        <v>-244.322</v>
      </c>
      <c r="M413" s="14">
        <v>283.75200000000001</v>
      </c>
      <c r="N413" s="14">
        <v>69.989999999999995</v>
      </c>
      <c r="O413" s="14">
        <v>-176.03399999999999</v>
      </c>
      <c r="P413" s="14">
        <v>118.65900000000001</v>
      </c>
      <c r="Q413" s="14">
        <v>42.485999999999997</v>
      </c>
      <c r="R413" s="14">
        <v>0.188</v>
      </c>
      <c r="S413" s="15">
        <f t="shared" si="23"/>
        <v>0.20229166666666656</v>
      </c>
      <c r="T413" s="14">
        <v>2.964</v>
      </c>
      <c r="U413" s="31">
        <f t="shared" si="24"/>
        <v>1.5935483870967742</v>
      </c>
      <c r="V413" s="2"/>
      <c r="W413" s="2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2.75" customHeight="1" x14ac:dyDescent="0.2">
      <c r="A414" s="16"/>
      <c r="B414" s="12" t="s">
        <v>431</v>
      </c>
      <c r="C414" s="13">
        <v>44475.464282118053</v>
      </c>
      <c r="D414" s="14">
        <v>-185.82</v>
      </c>
      <c r="E414" s="14">
        <v>168.46700000000001</v>
      </c>
      <c r="F414" s="14">
        <v>54.576000000000001</v>
      </c>
      <c r="G414" s="14">
        <v>-91.224999999999994</v>
      </c>
      <c r="H414" s="14">
        <v>94.457999999999998</v>
      </c>
      <c r="I414" s="14">
        <v>30.992000000000001</v>
      </c>
      <c r="J414" s="14">
        <v>0.188</v>
      </c>
      <c r="K414" s="15">
        <f t="shared" si="22"/>
        <v>0.20491666666666661</v>
      </c>
      <c r="L414" s="14">
        <v>-234.94200000000001</v>
      </c>
      <c r="M414" s="14">
        <v>228.5</v>
      </c>
      <c r="N414" s="14">
        <v>65.200999999999993</v>
      </c>
      <c r="O414" s="14">
        <v>-105.84</v>
      </c>
      <c r="P414" s="14">
        <v>122.227</v>
      </c>
      <c r="Q414" s="14">
        <v>38.142000000000003</v>
      </c>
      <c r="R414" s="14">
        <v>0.188</v>
      </c>
      <c r="S414" s="15">
        <f t="shared" si="23"/>
        <v>0.20229166666666656</v>
      </c>
      <c r="T414" s="14" t="s">
        <v>26</v>
      </c>
      <c r="U414" s="31" t="e">
        <f t="shared" si="24"/>
        <v>#VALUE!</v>
      </c>
      <c r="V414" s="2"/>
      <c r="W414" s="2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2.75" customHeight="1" x14ac:dyDescent="0.2">
      <c r="A415" s="16"/>
      <c r="B415" s="12" t="s">
        <v>432</v>
      </c>
      <c r="C415" s="13">
        <v>44475.485115393516</v>
      </c>
      <c r="D415" s="14">
        <v>-195.62299999999999</v>
      </c>
      <c r="E415" s="14">
        <v>193.81100000000001</v>
      </c>
      <c r="F415" s="14">
        <v>58.063000000000002</v>
      </c>
      <c r="G415" s="14">
        <v>-105.746</v>
      </c>
      <c r="H415" s="14">
        <v>98.59</v>
      </c>
      <c r="I415" s="14">
        <v>32.975999999999999</v>
      </c>
      <c r="J415" s="14">
        <v>0.2</v>
      </c>
      <c r="K415" s="15">
        <f t="shared" si="22"/>
        <v>0.20491666666666661</v>
      </c>
      <c r="L415" s="14">
        <v>-219.86500000000001</v>
      </c>
      <c r="M415" s="14">
        <v>235.596</v>
      </c>
      <c r="N415" s="14">
        <v>69.989999999999995</v>
      </c>
      <c r="O415" s="14">
        <v>-118.10299999999999</v>
      </c>
      <c r="P415" s="14">
        <v>118.703</v>
      </c>
      <c r="Q415" s="14">
        <v>40.747999999999998</v>
      </c>
      <c r="R415" s="14">
        <v>0.22500000000000001</v>
      </c>
      <c r="S415" s="15">
        <f t="shared" si="23"/>
        <v>0.20229166666666656</v>
      </c>
      <c r="T415" s="14">
        <v>2.194</v>
      </c>
      <c r="U415" s="31">
        <f t="shared" si="24"/>
        <v>1.1795698924731182</v>
      </c>
      <c r="V415" s="2"/>
      <c r="W415" s="2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2.75" customHeight="1" x14ac:dyDescent="0.2">
      <c r="A416" s="16"/>
      <c r="B416" s="12" t="s">
        <v>433</v>
      </c>
      <c r="C416" s="13">
        <v>44475.505948668979</v>
      </c>
      <c r="D416" s="14">
        <v>-181.751</v>
      </c>
      <c r="E416" s="14">
        <v>173.179</v>
      </c>
      <c r="F416" s="14">
        <v>53.896000000000001</v>
      </c>
      <c r="G416" s="14">
        <v>-80.930999999999997</v>
      </c>
      <c r="H416" s="14">
        <v>97.971000000000004</v>
      </c>
      <c r="I416" s="14">
        <v>31.292000000000002</v>
      </c>
      <c r="J416" s="14">
        <v>0.21299999999999999</v>
      </c>
      <c r="K416" s="15">
        <f t="shared" si="22"/>
        <v>0.20491666666666661</v>
      </c>
      <c r="L416" s="14">
        <v>-218.126</v>
      </c>
      <c r="M416" s="14">
        <v>236.33699999999999</v>
      </c>
      <c r="N416" s="14">
        <v>66.012</v>
      </c>
      <c r="O416" s="14">
        <v>-110.53</v>
      </c>
      <c r="P416" s="14">
        <v>134.60400000000001</v>
      </c>
      <c r="Q416" s="14">
        <v>39.085999999999999</v>
      </c>
      <c r="R416" s="14">
        <v>0.188</v>
      </c>
      <c r="S416" s="15">
        <f t="shared" si="23"/>
        <v>0.20229166666666656</v>
      </c>
      <c r="T416" s="14" t="s">
        <v>26</v>
      </c>
      <c r="U416" s="31" t="e">
        <f t="shared" si="24"/>
        <v>#VALUE!</v>
      </c>
      <c r="V416" s="2"/>
      <c r="W416" s="2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2.75" customHeight="1" x14ac:dyDescent="0.2">
      <c r="A417" s="16"/>
      <c r="B417" s="12" t="s">
        <v>434</v>
      </c>
      <c r="C417" s="13">
        <v>44475.526781944442</v>
      </c>
      <c r="D417" s="14">
        <v>-201.77099999999999</v>
      </c>
      <c r="E417" s="14">
        <v>169.08099999999999</v>
      </c>
      <c r="F417" s="14">
        <v>55.509</v>
      </c>
      <c r="G417" s="14">
        <v>-84.837999999999994</v>
      </c>
      <c r="H417" s="14">
        <v>103.69499999999999</v>
      </c>
      <c r="I417" s="14">
        <v>31.760999999999999</v>
      </c>
      <c r="J417" s="14">
        <v>0.21299999999999999</v>
      </c>
      <c r="K417" s="15">
        <f t="shared" si="22"/>
        <v>0.20491666666666661</v>
      </c>
      <c r="L417" s="14">
        <v>-212.977</v>
      </c>
      <c r="M417" s="14">
        <v>220.417</v>
      </c>
      <c r="N417" s="14">
        <v>63.72</v>
      </c>
      <c r="O417" s="14">
        <v>-105.84699999999999</v>
      </c>
      <c r="P417" s="14">
        <v>110.76</v>
      </c>
      <c r="Q417" s="14">
        <v>37.478000000000002</v>
      </c>
      <c r="R417" s="14">
        <v>0.17499999999999999</v>
      </c>
      <c r="S417" s="15">
        <f t="shared" si="23"/>
        <v>0.20229166666666656</v>
      </c>
      <c r="T417" s="14">
        <v>1.954</v>
      </c>
      <c r="U417" s="31">
        <f t="shared" si="24"/>
        <v>1.0505376344086022</v>
      </c>
      <c r="V417" s="2"/>
      <c r="W417" s="2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2.75" customHeight="1" x14ac:dyDescent="0.2">
      <c r="A418" s="16"/>
      <c r="B418" s="12" t="s">
        <v>435</v>
      </c>
      <c r="C418" s="13">
        <v>44475.547615219904</v>
      </c>
      <c r="D418" s="14">
        <v>-192.12799999999999</v>
      </c>
      <c r="E418" s="14">
        <v>175.607</v>
      </c>
      <c r="F418" s="14">
        <v>55.942999999999998</v>
      </c>
      <c r="G418" s="14">
        <v>-93.611999999999995</v>
      </c>
      <c r="H418" s="14">
        <v>98.700999999999993</v>
      </c>
      <c r="I418" s="14">
        <v>31.875</v>
      </c>
      <c r="J418" s="14">
        <v>0.2</v>
      </c>
      <c r="K418" s="15">
        <f t="shared" si="22"/>
        <v>0.20491666666666661</v>
      </c>
      <c r="L418" s="14">
        <v>-208.35900000000001</v>
      </c>
      <c r="M418" s="14">
        <v>226.21199999999999</v>
      </c>
      <c r="N418" s="14">
        <v>62.536000000000001</v>
      </c>
      <c r="O418" s="14">
        <v>-103.024</v>
      </c>
      <c r="P418" s="14">
        <v>124.235</v>
      </c>
      <c r="Q418" s="14">
        <v>36.326999999999998</v>
      </c>
      <c r="R418" s="14">
        <v>0.188</v>
      </c>
      <c r="S418" s="15">
        <f t="shared" si="23"/>
        <v>0.20229166666666656</v>
      </c>
      <c r="T418" s="14" t="s">
        <v>26</v>
      </c>
      <c r="U418" s="31" t="e">
        <f t="shared" si="24"/>
        <v>#VALUE!</v>
      </c>
      <c r="V418" s="2"/>
      <c r="W418" s="2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2.75" customHeight="1" x14ac:dyDescent="0.2">
      <c r="A419" s="16"/>
      <c r="B419" s="12" t="s">
        <v>436</v>
      </c>
      <c r="C419" s="13">
        <v>44475.568448495367</v>
      </c>
      <c r="D419" s="14">
        <v>-216.29900000000001</v>
      </c>
      <c r="E419" s="14">
        <v>199.82</v>
      </c>
      <c r="F419" s="14">
        <v>54.773000000000003</v>
      </c>
      <c r="G419" s="14">
        <v>-96.355000000000004</v>
      </c>
      <c r="H419" s="14">
        <v>101.982</v>
      </c>
      <c r="I419" s="14">
        <v>31.640999999999998</v>
      </c>
      <c r="J419" s="14">
        <v>0.188</v>
      </c>
      <c r="K419" s="15">
        <f t="shared" si="22"/>
        <v>0.20491666666666661</v>
      </c>
      <c r="L419" s="14">
        <v>-212.81200000000001</v>
      </c>
      <c r="M419" s="14">
        <v>247.113</v>
      </c>
      <c r="N419" s="14">
        <v>67.787000000000006</v>
      </c>
      <c r="O419" s="14">
        <v>-103.46299999999999</v>
      </c>
      <c r="P419" s="14">
        <v>131.55699999999999</v>
      </c>
      <c r="Q419" s="14">
        <v>40.128</v>
      </c>
      <c r="R419" s="14">
        <v>0.188</v>
      </c>
      <c r="S419" s="15">
        <f t="shared" si="23"/>
        <v>0.20229166666666656</v>
      </c>
      <c r="T419" s="14">
        <v>2.6160000000000001</v>
      </c>
      <c r="U419" s="31">
        <f t="shared" si="24"/>
        <v>1.4064516129032258</v>
      </c>
      <c r="V419" s="2"/>
      <c r="W419" s="2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2.75" customHeight="1" x14ac:dyDescent="0.2">
      <c r="A420" s="16"/>
      <c r="B420" s="12" t="s">
        <v>437</v>
      </c>
      <c r="C420" s="13">
        <v>44475.58928177083</v>
      </c>
      <c r="D420" s="14">
        <v>-186.17400000000001</v>
      </c>
      <c r="E420" s="14">
        <v>186.92099999999999</v>
      </c>
      <c r="F420" s="14">
        <v>54.743000000000002</v>
      </c>
      <c r="G420" s="14">
        <v>-72.652000000000001</v>
      </c>
      <c r="H420" s="14">
        <v>117.42400000000001</v>
      </c>
      <c r="I420" s="14">
        <v>32.335000000000001</v>
      </c>
      <c r="J420" s="14">
        <v>0.22500000000000001</v>
      </c>
      <c r="K420" s="15">
        <f t="shared" si="22"/>
        <v>0.20491666666666661</v>
      </c>
      <c r="L420" s="14">
        <v>-196.596</v>
      </c>
      <c r="M420" s="14">
        <v>205.227</v>
      </c>
      <c r="N420" s="14">
        <v>64.569999999999993</v>
      </c>
      <c r="O420" s="14">
        <v>-109.005</v>
      </c>
      <c r="P420" s="14">
        <v>124.80200000000001</v>
      </c>
      <c r="Q420" s="14">
        <v>39.567</v>
      </c>
      <c r="R420" s="14">
        <v>0.188</v>
      </c>
      <c r="S420" s="15">
        <f t="shared" si="23"/>
        <v>0.20229166666666656</v>
      </c>
      <c r="T420" s="14" t="s">
        <v>26</v>
      </c>
      <c r="U420" s="31" t="e">
        <f t="shared" si="24"/>
        <v>#VALUE!</v>
      </c>
      <c r="V420" s="2"/>
      <c r="W420" s="2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2.75" customHeight="1" x14ac:dyDescent="0.2">
      <c r="A421" s="16"/>
      <c r="B421" s="12" t="s">
        <v>438</v>
      </c>
      <c r="C421" s="13">
        <v>44475.610115046293</v>
      </c>
      <c r="D421" s="14">
        <v>-183.48500000000001</v>
      </c>
      <c r="E421" s="14">
        <v>200.15</v>
      </c>
      <c r="F421" s="14">
        <v>54.954999999999998</v>
      </c>
      <c r="G421" s="14">
        <v>-114.494</v>
      </c>
      <c r="H421" s="14">
        <v>85.203999999999994</v>
      </c>
      <c r="I421" s="14">
        <v>31.963000000000001</v>
      </c>
      <c r="J421" s="14">
        <v>0.2</v>
      </c>
      <c r="K421" s="15">
        <f t="shared" si="22"/>
        <v>0.20491666666666661</v>
      </c>
      <c r="L421" s="14">
        <v>-249.92099999999999</v>
      </c>
      <c r="M421" s="14">
        <v>248.292</v>
      </c>
      <c r="N421" s="14">
        <v>64.347999999999999</v>
      </c>
      <c r="O421" s="14">
        <v>-134.38300000000001</v>
      </c>
      <c r="P421" s="14">
        <v>114.517</v>
      </c>
      <c r="Q421" s="14">
        <v>39.53</v>
      </c>
      <c r="R421" s="14">
        <v>0.188</v>
      </c>
      <c r="S421" s="15">
        <f t="shared" si="23"/>
        <v>0.20229166666666656</v>
      </c>
      <c r="T421" s="14">
        <v>1.869</v>
      </c>
      <c r="U421" s="31">
        <f t="shared" si="24"/>
        <v>1.0048387096774194</v>
      </c>
      <c r="V421" s="2"/>
      <c r="W421" s="2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2.75" customHeight="1" x14ac:dyDescent="0.2">
      <c r="A422" s="16"/>
      <c r="B422" s="12" t="s">
        <v>439</v>
      </c>
      <c r="C422" s="13">
        <v>44475.630948321763</v>
      </c>
      <c r="D422" s="14">
        <v>-169.33500000000001</v>
      </c>
      <c r="E422" s="14">
        <v>195.70699999999999</v>
      </c>
      <c r="F422" s="14">
        <v>53.616</v>
      </c>
      <c r="G422" s="14">
        <v>-108.71899999999999</v>
      </c>
      <c r="H422" s="14">
        <v>90.022999999999996</v>
      </c>
      <c r="I422" s="14">
        <v>32.472999999999999</v>
      </c>
      <c r="J422" s="14">
        <v>0.2</v>
      </c>
      <c r="K422" s="15">
        <f t="shared" si="22"/>
        <v>0.20491666666666661</v>
      </c>
      <c r="L422" s="14">
        <v>-230.529</v>
      </c>
      <c r="M422" s="14">
        <v>224.94</v>
      </c>
      <c r="N422" s="14">
        <v>65.111999999999995</v>
      </c>
      <c r="O422" s="14">
        <v>-137.84200000000001</v>
      </c>
      <c r="P422" s="14">
        <v>111.06399999999999</v>
      </c>
      <c r="Q422" s="14">
        <v>40.148000000000003</v>
      </c>
      <c r="R422" s="14">
        <v>0.2</v>
      </c>
      <c r="S422" s="15">
        <f t="shared" si="23"/>
        <v>0.20229166666666656</v>
      </c>
      <c r="T422" s="14" t="s">
        <v>26</v>
      </c>
      <c r="U422" s="31" t="e">
        <f t="shared" si="24"/>
        <v>#VALUE!</v>
      </c>
      <c r="V422" s="2"/>
      <c r="W422" s="2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2.75" customHeight="1" x14ac:dyDescent="0.2">
      <c r="A423" s="16"/>
      <c r="B423" s="12" t="s">
        <v>440</v>
      </c>
      <c r="C423" s="13">
        <v>44475.651781597226</v>
      </c>
      <c r="D423" s="14">
        <v>-202.053</v>
      </c>
      <c r="E423" s="14">
        <v>192.77500000000001</v>
      </c>
      <c r="F423" s="14">
        <v>53.773000000000003</v>
      </c>
      <c r="G423" s="14">
        <v>-60.267000000000003</v>
      </c>
      <c r="H423" s="14">
        <v>128.291</v>
      </c>
      <c r="I423" s="14">
        <v>31.530999999999999</v>
      </c>
      <c r="J423" s="14">
        <v>0.2</v>
      </c>
      <c r="K423" s="15">
        <f t="shared" si="22"/>
        <v>0.20491666666666661</v>
      </c>
      <c r="L423" s="14">
        <v>-210.989</v>
      </c>
      <c r="M423" s="14">
        <v>247.471</v>
      </c>
      <c r="N423" s="14">
        <v>65.305000000000007</v>
      </c>
      <c r="O423" s="14">
        <v>-99.629000000000005</v>
      </c>
      <c r="P423" s="14">
        <v>136.70400000000001</v>
      </c>
      <c r="Q423" s="14">
        <v>37.893999999999998</v>
      </c>
      <c r="R423" s="14">
        <v>0.2</v>
      </c>
      <c r="S423" s="15">
        <f t="shared" si="23"/>
        <v>0.20229166666666656</v>
      </c>
      <c r="T423" s="14">
        <v>1.897</v>
      </c>
      <c r="U423" s="31">
        <f t="shared" si="24"/>
        <v>1.0198924731182795</v>
      </c>
      <c r="V423" s="2"/>
      <c r="W423" s="2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2.75" customHeight="1" x14ac:dyDescent="0.2">
      <c r="A424" s="16"/>
      <c r="B424" s="12" t="s">
        <v>441</v>
      </c>
      <c r="C424" s="13">
        <v>44475.672614872688</v>
      </c>
      <c r="D424" s="14">
        <v>-163.9</v>
      </c>
      <c r="E424" s="14">
        <v>176.947</v>
      </c>
      <c r="F424" s="14">
        <v>49.798999999999999</v>
      </c>
      <c r="G424" s="14">
        <v>-90.658000000000001</v>
      </c>
      <c r="H424" s="14">
        <v>78.424000000000007</v>
      </c>
      <c r="I424" s="14">
        <v>29.064</v>
      </c>
      <c r="J424" s="14">
        <v>0.2</v>
      </c>
      <c r="K424" s="15">
        <f t="shared" si="22"/>
        <v>0.20491666666666661</v>
      </c>
      <c r="L424" s="14">
        <v>-211</v>
      </c>
      <c r="M424" s="14">
        <v>239.99100000000001</v>
      </c>
      <c r="N424" s="14">
        <v>62.052999999999997</v>
      </c>
      <c r="O424" s="14">
        <v>-132.16399999999999</v>
      </c>
      <c r="P424" s="14">
        <v>108.11799999999999</v>
      </c>
      <c r="Q424" s="14">
        <v>36.585999999999999</v>
      </c>
      <c r="R424" s="14">
        <v>0.22500000000000001</v>
      </c>
      <c r="S424" s="15">
        <f t="shared" si="23"/>
        <v>0.20229166666666656</v>
      </c>
      <c r="T424" s="14" t="s">
        <v>26</v>
      </c>
      <c r="U424" s="31" t="e">
        <f t="shared" si="24"/>
        <v>#VALUE!</v>
      </c>
      <c r="V424" s="2"/>
      <c r="W424" s="2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2.75" customHeight="1" x14ac:dyDescent="0.2">
      <c r="A425" s="16"/>
      <c r="B425" s="12" t="s">
        <v>442</v>
      </c>
      <c r="C425" s="13">
        <v>44475.693448148151</v>
      </c>
      <c r="D425" s="14">
        <v>-157.072</v>
      </c>
      <c r="E425" s="14">
        <v>177.64099999999999</v>
      </c>
      <c r="F425" s="14">
        <v>49.848999999999997</v>
      </c>
      <c r="G425" s="14">
        <v>-87.055999999999997</v>
      </c>
      <c r="H425" s="14">
        <v>88.195999999999998</v>
      </c>
      <c r="I425" s="14">
        <v>29.343</v>
      </c>
      <c r="J425" s="14">
        <v>0.188</v>
      </c>
      <c r="K425" s="15">
        <f t="shared" si="22"/>
        <v>0.20491666666666661</v>
      </c>
      <c r="L425" s="14">
        <v>-203.608</v>
      </c>
      <c r="M425" s="14">
        <v>223.45699999999999</v>
      </c>
      <c r="N425" s="14">
        <v>59.860999999999997</v>
      </c>
      <c r="O425" s="14">
        <v>-112.59</v>
      </c>
      <c r="P425" s="14">
        <v>144.26400000000001</v>
      </c>
      <c r="Q425" s="14">
        <v>35.484000000000002</v>
      </c>
      <c r="R425" s="14">
        <v>0.2</v>
      </c>
      <c r="S425" s="15">
        <f t="shared" si="23"/>
        <v>0.20229166666666656</v>
      </c>
      <c r="T425" s="14">
        <v>1.841</v>
      </c>
      <c r="U425" s="31">
        <f t="shared" si="24"/>
        <v>0.9897849462365591</v>
      </c>
      <c r="V425" s="2"/>
      <c r="W425" s="2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2.75" customHeight="1" x14ac:dyDescent="0.2">
      <c r="A426" s="16"/>
      <c r="B426" s="12" t="s">
        <v>443</v>
      </c>
      <c r="C426" s="13">
        <v>44475.714281423614</v>
      </c>
      <c r="D426" s="14">
        <v>-165.99299999999999</v>
      </c>
      <c r="E426" s="14">
        <v>204.64599999999999</v>
      </c>
      <c r="F426" s="14">
        <v>50.359000000000002</v>
      </c>
      <c r="G426" s="14">
        <v>-117.741</v>
      </c>
      <c r="H426" s="14">
        <v>86.313999999999993</v>
      </c>
      <c r="I426" s="14">
        <v>28.908999999999999</v>
      </c>
      <c r="J426" s="14">
        <v>0.2</v>
      </c>
      <c r="K426" s="15">
        <f t="shared" si="22"/>
        <v>0.20491666666666661</v>
      </c>
      <c r="L426" s="14">
        <v>-193.97</v>
      </c>
      <c r="M426" s="14">
        <v>191.80500000000001</v>
      </c>
      <c r="N426" s="14">
        <v>61.006999999999998</v>
      </c>
      <c r="O426" s="14">
        <v>-125.313</v>
      </c>
      <c r="P426" s="14">
        <v>91.375</v>
      </c>
      <c r="Q426" s="14">
        <v>35.374000000000002</v>
      </c>
      <c r="R426" s="14">
        <v>0.2</v>
      </c>
      <c r="S426" s="15">
        <f t="shared" si="23"/>
        <v>0.20229166666666656</v>
      </c>
      <c r="T426" s="14" t="s">
        <v>26</v>
      </c>
      <c r="U426" s="31" t="e">
        <f t="shared" si="24"/>
        <v>#VALUE!</v>
      </c>
      <c r="V426" s="2"/>
      <c r="W426" s="2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2.75" customHeight="1" x14ac:dyDescent="0.2">
      <c r="A427" s="16"/>
      <c r="B427" s="12" t="s">
        <v>444</v>
      </c>
      <c r="C427" s="13">
        <v>44475.735114699077</v>
      </c>
      <c r="D427" s="14">
        <v>-158.762</v>
      </c>
      <c r="E427" s="14">
        <v>158.36099999999999</v>
      </c>
      <c r="F427" s="14">
        <v>49.93</v>
      </c>
      <c r="G427" s="14">
        <v>-81.546999999999997</v>
      </c>
      <c r="H427" s="14">
        <v>85.028999999999996</v>
      </c>
      <c r="I427" s="14">
        <v>29.225000000000001</v>
      </c>
      <c r="J427" s="14">
        <v>0.2</v>
      </c>
      <c r="K427" s="15">
        <f t="shared" si="22"/>
        <v>0.20491666666666661</v>
      </c>
      <c r="L427" s="14">
        <v>-230.09200000000001</v>
      </c>
      <c r="M427" s="14">
        <v>212.30699999999999</v>
      </c>
      <c r="N427" s="14">
        <v>60.76</v>
      </c>
      <c r="O427" s="14">
        <v>-114.172</v>
      </c>
      <c r="P427" s="14">
        <v>128.10499999999999</v>
      </c>
      <c r="Q427" s="14">
        <v>35.603999999999999</v>
      </c>
      <c r="R427" s="14">
        <v>0.2</v>
      </c>
      <c r="S427" s="15">
        <f t="shared" si="23"/>
        <v>0.20229166666666656</v>
      </c>
      <c r="T427" s="14">
        <v>1.6479999999999999</v>
      </c>
      <c r="U427" s="31">
        <f t="shared" si="24"/>
        <v>0.88602150537634394</v>
      </c>
      <c r="V427" s="2"/>
      <c r="W427" s="2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2.75" customHeight="1" x14ac:dyDescent="0.2">
      <c r="A428" s="16"/>
      <c r="B428" s="12" t="s">
        <v>445</v>
      </c>
      <c r="C428" s="13">
        <v>44475.75594797454</v>
      </c>
      <c r="D428" s="14">
        <v>-148.26499999999999</v>
      </c>
      <c r="E428" s="14">
        <v>185.989</v>
      </c>
      <c r="F428" s="14">
        <v>49.472999999999999</v>
      </c>
      <c r="G428" s="14">
        <v>-93.372</v>
      </c>
      <c r="H428" s="14">
        <v>79.908000000000001</v>
      </c>
      <c r="I428" s="14">
        <v>27.835999999999999</v>
      </c>
      <c r="J428" s="14">
        <v>0.21299999999999999</v>
      </c>
      <c r="K428" s="15">
        <f t="shared" si="22"/>
        <v>0.20491666666666661</v>
      </c>
      <c r="L428" s="14">
        <v>-170.36</v>
      </c>
      <c r="M428" s="14">
        <v>183.18199999999999</v>
      </c>
      <c r="N428" s="14">
        <v>55.643999999999998</v>
      </c>
      <c r="O428" s="14">
        <v>-105.94799999999999</v>
      </c>
      <c r="P428" s="14">
        <v>99.358000000000004</v>
      </c>
      <c r="Q428" s="14">
        <v>32.411000000000001</v>
      </c>
      <c r="R428" s="14">
        <v>0.22500000000000001</v>
      </c>
      <c r="S428" s="15">
        <f t="shared" si="23"/>
        <v>0.20229166666666656</v>
      </c>
      <c r="T428" s="14" t="s">
        <v>26</v>
      </c>
      <c r="U428" s="31" t="e">
        <f t="shared" si="24"/>
        <v>#VALUE!</v>
      </c>
      <c r="V428" s="2"/>
      <c r="W428" s="2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2.75" customHeight="1" x14ac:dyDescent="0.2">
      <c r="A429" s="16"/>
      <c r="B429" s="12" t="s">
        <v>446</v>
      </c>
      <c r="C429" s="13">
        <v>44475.776781250002</v>
      </c>
      <c r="D429" s="14">
        <v>-154.363</v>
      </c>
      <c r="E429" s="14">
        <v>175.77799999999999</v>
      </c>
      <c r="F429" s="14">
        <v>50.048000000000002</v>
      </c>
      <c r="G429" s="14">
        <v>-86.643000000000001</v>
      </c>
      <c r="H429" s="14">
        <v>82.247</v>
      </c>
      <c r="I429" s="14">
        <v>27.92</v>
      </c>
      <c r="J429" s="14">
        <v>0.21299999999999999</v>
      </c>
      <c r="K429" s="15">
        <f t="shared" si="22"/>
        <v>0.20491666666666661</v>
      </c>
      <c r="L429" s="14">
        <v>-199.18199999999999</v>
      </c>
      <c r="M429" s="14">
        <v>171.81</v>
      </c>
      <c r="N429" s="14">
        <v>59.466000000000001</v>
      </c>
      <c r="O429" s="14">
        <v>-99.847999999999999</v>
      </c>
      <c r="P429" s="14">
        <v>106.372</v>
      </c>
      <c r="Q429" s="14">
        <v>34.354999999999997</v>
      </c>
      <c r="R429" s="14">
        <v>0.22500000000000001</v>
      </c>
      <c r="S429" s="15">
        <f t="shared" si="23"/>
        <v>0.20229166666666656</v>
      </c>
      <c r="T429" s="14">
        <v>1.5840000000000001</v>
      </c>
      <c r="U429" s="31">
        <f t="shared" si="24"/>
        <v>0.85161290322580641</v>
      </c>
      <c r="V429" s="2"/>
      <c r="W429" s="2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2.75" customHeight="1" x14ac:dyDescent="0.2">
      <c r="A430" s="16"/>
      <c r="B430" s="12" t="s">
        <v>447</v>
      </c>
      <c r="C430" s="13">
        <v>44475.797614525465</v>
      </c>
      <c r="D430" s="14">
        <v>-184.304</v>
      </c>
      <c r="E430" s="14">
        <v>183.108</v>
      </c>
      <c r="F430" s="14">
        <v>49.755000000000003</v>
      </c>
      <c r="G430" s="14">
        <v>-105.904</v>
      </c>
      <c r="H430" s="14">
        <v>80.561000000000007</v>
      </c>
      <c r="I430" s="14">
        <v>28.32</v>
      </c>
      <c r="J430" s="14">
        <v>0.21299999999999999</v>
      </c>
      <c r="K430" s="15">
        <f t="shared" si="22"/>
        <v>0.20491666666666661</v>
      </c>
      <c r="L430" s="14">
        <v>-188.62899999999999</v>
      </c>
      <c r="M430" s="14">
        <v>197.77500000000001</v>
      </c>
      <c r="N430" s="14">
        <v>57.042999999999999</v>
      </c>
      <c r="O430" s="14">
        <v>-127.761</v>
      </c>
      <c r="P430" s="14">
        <v>76.875</v>
      </c>
      <c r="Q430" s="14">
        <v>33.195</v>
      </c>
      <c r="R430" s="14">
        <v>0.188</v>
      </c>
      <c r="S430" s="15">
        <f t="shared" si="23"/>
        <v>0.20229166666666656</v>
      </c>
      <c r="T430" s="14" t="s">
        <v>26</v>
      </c>
      <c r="U430" s="31" t="e">
        <f t="shared" si="24"/>
        <v>#VALUE!</v>
      </c>
      <c r="V430" s="2"/>
      <c r="W430" s="2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2.75" customHeight="1" x14ac:dyDescent="0.2">
      <c r="A431" s="16"/>
      <c r="B431" s="12" t="s">
        <v>448</v>
      </c>
      <c r="C431" s="13">
        <v>44475.818447800928</v>
      </c>
      <c r="D431" s="14">
        <v>-150.72</v>
      </c>
      <c r="E431" s="14">
        <v>166.35</v>
      </c>
      <c r="F431" s="14">
        <v>44.927</v>
      </c>
      <c r="G431" s="14">
        <v>-70.914000000000001</v>
      </c>
      <c r="H431" s="14">
        <v>86.742000000000004</v>
      </c>
      <c r="I431" s="14">
        <v>25.997</v>
      </c>
      <c r="J431" s="14">
        <v>0.2</v>
      </c>
      <c r="K431" s="15">
        <f t="shared" si="22"/>
        <v>0.20491666666666661</v>
      </c>
      <c r="L431" s="14">
        <v>-201.54499999999999</v>
      </c>
      <c r="M431" s="14">
        <v>210.40899999999999</v>
      </c>
      <c r="N431" s="14">
        <v>59.128999999999998</v>
      </c>
      <c r="O431" s="14">
        <v>-89.040999999999997</v>
      </c>
      <c r="P431" s="14">
        <v>138.00299999999999</v>
      </c>
      <c r="Q431" s="14">
        <v>34.247</v>
      </c>
      <c r="R431" s="14">
        <v>0.22500000000000001</v>
      </c>
      <c r="S431" s="15">
        <f t="shared" si="23"/>
        <v>0.20229166666666656</v>
      </c>
      <c r="T431" s="14">
        <v>1.5629999999999999</v>
      </c>
      <c r="U431" s="31">
        <f t="shared" si="24"/>
        <v>0.84032258064516119</v>
      </c>
      <c r="V431" s="2"/>
      <c r="W431" s="2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2.75" customHeight="1" x14ac:dyDescent="0.2">
      <c r="A432" s="16"/>
      <c r="B432" s="12" t="s">
        <v>449</v>
      </c>
      <c r="C432" s="13">
        <v>44475.839281076391</v>
      </c>
      <c r="D432" s="14">
        <v>-195.905</v>
      </c>
      <c r="E432" s="14">
        <v>170.90199999999999</v>
      </c>
      <c r="F432" s="14">
        <v>48.261000000000003</v>
      </c>
      <c r="G432" s="14">
        <v>-74.19</v>
      </c>
      <c r="H432" s="14">
        <v>100.57</v>
      </c>
      <c r="I432" s="14">
        <v>26.552</v>
      </c>
      <c r="J432" s="14">
        <v>0.21299999999999999</v>
      </c>
      <c r="K432" s="15">
        <f t="shared" si="22"/>
        <v>0.20491666666666661</v>
      </c>
      <c r="L432" s="14">
        <v>-187.84399999999999</v>
      </c>
      <c r="M432" s="14">
        <v>212.09899999999999</v>
      </c>
      <c r="N432" s="14">
        <v>55.372</v>
      </c>
      <c r="O432" s="14">
        <v>-80.701999999999998</v>
      </c>
      <c r="P432" s="14">
        <v>106.726</v>
      </c>
      <c r="Q432" s="14">
        <v>31.177</v>
      </c>
      <c r="R432" s="14">
        <v>0.22500000000000001</v>
      </c>
      <c r="S432" s="15">
        <f t="shared" si="23"/>
        <v>0.20229166666666656</v>
      </c>
      <c r="T432" s="14" t="s">
        <v>26</v>
      </c>
      <c r="U432" s="31" t="e">
        <f t="shared" si="24"/>
        <v>#VALUE!</v>
      </c>
      <c r="V432" s="2"/>
      <c r="W432" s="2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2.75" customHeight="1" x14ac:dyDescent="0.2">
      <c r="A433" s="16"/>
      <c r="B433" s="12" t="s">
        <v>450</v>
      </c>
      <c r="C433" s="13">
        <v>44475.860114351854</v>
      </c>
      <c r="D433" s="14">
        <v>-185.92400000000001</v>
      </c>
      <c r="E433" s="14">
        <v>193.70500000000001</v>
      </c>
      <c r="F433" s="14">
        <v>45.634999999999998</v>
      </c>
      <c r="G433" s="14">
        <v>-74.256</v>
      </c>
      <c r="H433" s="14">
        <v>100.43</v>
      </c>
      <c r="I433" s="14">
        <v>25.904</v>
      </c>
      <c r="J433" s="14">
        <v>0.2</v>
      </c>
      <c r="K433" s="15">
        <f t="shared" si="22"/>
        <v>0.20491666666666661</v>
      </c>
      <c r="L433" s="14">
        <v>-209.92500000000001</v>
      </c>
      <c r="M433" s="14">
        <v>195.006</v>
      </c>
      <c r="N433" s="14">
        <v>53.06</v>
      </c>
      <c r="O433" s="14">
        <v>-108.782</v>
      </c>
      <c r="P433" s="14">
        <v>97.251999999999995</v>
      </c>
      <c r="Q433" s="14">
        <v>30.308</v>
      </c>
      <c r="R433" s="14">
        <v>0.2</v>
      </c>
      <c r="S433" s="15">
        <f t="shared" si="23"/>
        <v>0.20229166666666656</v>
      </c>
      <c r="T433" s="14">
        <v>1.7669999999999999</v>
      </c>
      <c r="U433" s="31">
        <f t="shared" si="24"/>
        <v>0.94999999999999984</v>
      </c>
      <c r="V433" s="2"/>
      <c r="W433" s="2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2.75" customHeight="1" x14ac:dyDescent="0.2">
      <c r="A434" s="16"/>
      <c r="B434" s="12" t="s">
        <v>451</v>
      </c>
      <c r="C434" s="13">
        <v>44475.880947627316</v>
      </c>
      <c r="D434" s="14">
        <v>-154.85</v>
      </c>
      <c r="E434" s="14">
        <v>138.93700000000001</v>
      </c>
      <c r="F434" s="14">
        <v>46.158999999999999</v>
      </c>
      <c r="G434" s="14">
        <v>-71.918000000000006</v>
      </c>
      <c r="H434" s="14">
        <v>88.39</v>
      </c>
      <c r="I434" s="14">
        <v>26.466999999999999</v>
      </c>
      <c r="J434" s="14">
        <v>0.2</v>
      </c>
      <c r="K434" s="15">
        <f t="shared" si="22"/>
        <v>0.20491666666666661</v>
      </c>
      <c r="L434" s="14">
        <v>-186.66200000000001</v>
      </c>
      <c r="M434" s="14">
        <v>200.46799999999999</v>
      </c>
      <c r="N434" s="14">
        <v>52.148000000000003</v>
      </c>
      <c r="O434" s="14">
        <v>-93.311999999999998</v>
      </c>
      <c r="P434" s="14">
        <v>102.696</v>
      </c>
      <c r="Q434" s="14">
        <v>30.841000000000001</v>
      </c>
      <c r="R434" s="14">
        <v>0.22500000000000001</v>
      </c>
      <c r="S434" s="15">
        <f t="shared" si="23"/>
        <v>0.20229166666666656</v>
      </c>
      <c r="T434" s="14" t="s">
        <v>26</v>
      </c>
      <c r="U434" s="31" t="e">
        <f t="shared" si="24"/>
        <v>#VALUE!</v>
      </c>
      <c r="V434" s="2"/>
      <c r="W434" s="2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2.75" customHeight="1" x14ac:dyDescent="0.2">
      <c r="A435" s="16"/>
      <c r="B435" s="12" t="s">
        <v>452</v>
      </c>
      <c r="C435" s="13">
        <v>44475.901780902779</v>
      </c>
      <c r="D435" s="14">
        <v>-155.148</v>
      </c>
      <c r="E435" s="14">
        <v>155.28</v>
      </c>
      <c r="F435" s="14">
        <v>46.122999999999998</v>
      </c>
      <c r="G435" s="14">
        <v>-77.807000000000002</v>
      </c>
      <c r="H435" s="14">
        <v>84.48</v>
      </c>
      <c r="I435" s="14">
        <v>24.963000000000001</v>
      </c>
      <c r="J435" s="14">
        <v>0.22500000000000001</v>
      </c>
      <c r="K435" s="15">
        <f t="shared" si="22"/>
        <v>0.20491666666666661</v>
      </c>
      <c r="L435" s="14">
        <v>-202.15700000000001</v>
      </c>
      <c r="M435" s="14">
        <v>206.97800000000001</v>
      </c>
      <c r="N435" s="14">
        <v>52.12</v>
      </c>
      <c r="O435" s="14">
        <v>-104.78</v>
      </c>
      <c r="P435" s="14">
        <v>97.477999999999994</v>
      </c>
      <c r="Q435" s="14">
        <v>30.158999999999999</v>
      </c>
      <c r="R435" s="14">
        <v>0.22500000000000001</v>
      </c>
      <c r="S435" s="15">
        <f t="shared" si="23"/>
        <v>0.20229166666666656</v>
      </c>
      <c r="T435" s="14">
        <v>1.897</v>
      </c>
      <c r="U435" s="31">
        <f t="shared" si="24"/>
        <v>1.0198924731182795</v>
      </c>
      <c r="V435" s="2"/>
      <c r="W435" s="2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2.75" customHeight="1" x14ac:dyDescent="0.2">
      <c r="A436" s="16"/>
      <c r="B436" s="12" t="s">
        <v>453</v>
      </c>
      <c r="C436" s="13">
        <v>44475.922614178242</v>
      </c>
      <c r="D436" s="14">
        <v>-244.42099999999999</v>
      </c>
      <c r="E436" s="14">
        <v>179.53299999999999</v>
      </c>
      <c r="F436" s="14">
        <v>49.55</v>
      </c>
      <c r="G436" s="14">
        <v>-94.951999999999998</v>
      </c>
      <c r="H436" s="14">
        <v>87.813999999999993</v>
      </c>
      <c r="I436" s="14">
        <v>27.196000000000002</v>
      </c>
      <c r="J436" s="14">
        <v>0.22500000000000001</v>
      </c>
      <c r="K436" s="15">
        <f t="shared" si="22"/>
        <v>0.20491666666666661</v>
      </c>
      <c r="L436" s="14">
        <v>-188.87700000000001</v>
      </c>
      <c r="M436" s="14">
        <v>188.959</v>
      </c>
      <c r="N436" s="14">
        <v>52.837000000000003</v>
      </c>
      <c r="O436" s="14">
        <v>-113.538</v>
      </c>
      <c r="P436" s="14">
        <v>112.922</v>
      </c>
      <c r="Q436" s="14">
        <v>29.323</v>
      </c>
      <c r="R436" s="14">
        <v>0.22500000000000001</v>
      </c>
      <c r="S436" s="15">
        <f t="shared" si="23"/>
        <v>0.20229166666666656</v>
      </c>
      <c r="T436" s="14" t="s">
        <v>26</v>
      </c>
      <c r="U436" s="31" t="e">
        <f t="shared" si="24"/>
        <v>#VALUE!</v>
      </c>
      <c r="V436" s="2"/>
      <c r="W436" s="2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2.75" customHeight="1" x14ac:dyDescent="0.2">
      <c r="A437" s="16"/>
      <c r="B437" s="12" t="s">
        <v>454</v>
      </c>
      <c r="C437" s="13">
        <v>44475.943447453705</v>
      </c>
      <c r="D437" s="14">
        <v>-168.80199999999999</v>
      </c>
      <c r="E437" s="14">
        <v>153.57400000000001</v>
      </c>
      <c r="F437" s="14">
        <v>46.164999999999999</v>
      </c>
      <c r="G437" s="14">
        <v>-87.697000000000003</v>
      </c>
      <c r="H437" s="14">
        <v>71.147000000000006</v>
      </c>
      <c r="I437" s="14">
        <v>25.312000000000001</v>
      </c>
      <c r="J437" s="14">
        <v>0.21299999999999999</v>
      </c>
      <c r="K437" s="15">
        <f t="shared" si="22"/>
        <v>0.20491666666666661</v>
      </c>
      <c r="L437" s="14">
        <v>-171.31899999999999</v>
      </c>
      <c r="M437" s="14">
        <v>203.5</v>
      </c>
      <c r="N437" s="14">
        <v>53.304000000000002</v>
      </c>
      <c r="O437" s="14">
        <v>-72.44</v>
      </c>
      <c r="P437" s="14">
        <v>120.529</v>
      </c>
      <c r="Q437" s="14">
        <v>29.648</v>
      </c>
      <c r="R437" s="14">
        <v>0.22500000000000001</v>
      </c>
      <c r="S437" s="15">
        <f t="shared" si="23"/>
        <v>0.20229166666666656</v>
      </c>
      <c r="T437" s="14">
        <v>2.4569999999999999</v>
      </c>
      <c r="U437" s="31">
        <f t="shared" si="24"/>
        <v>1.3209677419354837</v>
      </c>
      <c r="V437" s="2"/>
      <c r="W437" s="2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2.75" customHeight="1" x14ac:dyDescent="0.2">
      <c r="A438" s="16"/>
      <c r="B438" s="12" t="s">
        <v>455</v>
      </c>
      <c r="C438" s="13">
        <v>44475.964280729168</v>
      </c>
      <c r="D438" s="14">
        <v>-165.887</v>
      </c>
      <c r="E438" s="14">
        <v>176.11500000000001</v>
      </c>
      <c r="F438" s="14">
        <v>47.57</v>
      </c>
      <c r="G438" s="14">
        <v>-86.706999999999994</v>
      </c>
      <c r="H438" s="14">
        <v>80.051000000000002</v>
      </c>
      <c r="I438" s="14">
        <v>26.776</v>
      </c>
      <c r="J438" s="14">
        <v>0.21299999999999999</v>
      </c>
      <c r="K438" s="15">
        <f t="shared" si="22"/>
        <v>0.20491666666666661</v>
      </c>
      <c r="L438" s="14">
        <v>-172.303</v>
      </c>
      <c r="M438" s="14">
        <v>181.82499999999999</v>
      </c>
      <c r="N438" s="14">
        <v>53.432000000000002</v>
      </c>
      <c r="O438" s="14">
        <v>-98.664000000000001</v>
      </c>
      <c r="P438" s="14">
        <v>103.508</v>
      </c>
      <c r="Q438" s="14">
        <v>31.821000000000002</v>
      </c>
      <c r="R438" s="14">
        <v>0.22500000000000001</v>
      </c>
      <c r="S438" s="15">
        <f t="shared" si="23"/>
        <v>0.20229166666666656</v>
      </c>
      <c r="T438" s="14" t="s">
        <v>26</v>
      </c>
      <c r="U438" s="31" t="e">
        <f t="shared" si="24"/>
        <v>#VALUE!</v>
      </c>
      <c r="V438" s="2"/>
      <c r="W438" s="2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2.75" customHeight="1" x14ac:dyDescent="0.2">
      <c r="A439" s="16"/>
      <c r="B439" s="12" t="s">
        <v>456</v>
      </c>
      <c r="C439" s="13">
        <v>44475.98511400463</v>
      </c>
      <c r="D439" s="14">
        <v>-169.73500000000001</v>
      </c>
      <c r="E439" s="14">
        <v>162.96600000000001</v>
      </c>
      <c r="F439" s="14">
        <v>50.45</v>
      </c>
      <c r="G439" s="14">
        <v>-69.156999999999996</v>
      </c>
      <c r="H439" s="14">
        <v>86.403000000000006</v>
      </c>
      <c r="I439" s="14">
        <v>27.036999999999999</v>
      </c>
      <c r="J439" s="14">
        <v>0.22500000000000001</v>
      </c>
      <c r="K439" s="15">
        <f t="shared" si="22"/>
        <v>0.20491666666666661</v>
      </c>
      <c r="L439" s="14">
        <v>-168.58099999999999</v>
      </c>
      <c r="M439" s="14">
        <v>206.226</v>
      </c>
      <c r="N439" s="14">
        <v>52.045000000000002</v>
      </c>
      <c r="O439" s="14">
        <v>-106.452</v>
      </c>
      <c r="P439" s="14">
        <v>92.349000000000004</v>
      </c>
      <c r="Q439" s="14">
        <v>29.536999999999999</v>
      </c>
      <c r="R439" s="14">
        <v>0.188</v>
      </c>
      <c r="S439" s="15">
        <f t="shared" si="23"/>
        <v>0.20229166666666656</v>
      </c>
      <c r="T439" s="14">
        <v>1.587</v>
      </c>
      <c r="U439" s="31">
        <f t="shared" si="24"/>
        <v>0.85322580645161283</v>
      </c>
      <c r="V439" s="2"/>
      <c r="W439" s="2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2.75" customHeight="1" x14ac:dyDescent="0.2">
      <c r="A440" s="20">
        <v>10</v>
      </c>
      <c r="B440" s="21" t="s">
        <v>457</v>
      </c>
      <c r="C440" s="13">
        <v>44476.005947280093</v>
      </c>
      <c r="D440" s="22">
        <v>-170.3</v>
      </c>
      <c r="E440" s="22">
        <v>144.98500000000001</v>
      </c>
      <c r="F440" s="22">
        <v>49.820999999999998</v>
      </c>
      <c r="G440" s="22">
        <v>-86.251000000000005</v>
      </c>
      <c r="H440" s="22">
        <v>83.405000000000001</v>
      </c>
      <c r="I440" s="22">
        <v>27.154</v>
      </c>
      <c r="J440" s="22">
        <v>0.22500000000000001</v>
      </c>
      <c r="K440" s="23">
        <f>AVERAGE(J440:J487)</f>
        <v>0.20668749999999994</v>
      </c>
      <c r="L440" s="22">
        <v>-180.74299999999999</v>
      </c>
      <c r="M440" s="22">
        <v>192.59200000000001</v>
      </c>
      <c r="N440" s="22">
        <v>53.710999999999999</v>
      </c>
      <c r="O440" s="22">
        <v>-126.282</v>
      </c>
      <c r="P440" s="22">
        <v>87.094999999999999</v>
      </c>
      <c r="Q440" s="22">
        <v>31.599</v>
      </c>
      <c r="R440" s="22">
        <v>0.22500000000000001</v>
      </c>
      <c r="S440" s="23">
        <f>AVERAGE(R440:R487)</f>
        <v>0.19610416666666672</v>
      </c>
      <c r="T440" s="22" t="s">
        <v>26</v>
      </c>
      <c r="U440" s="31" t="e">
        <f t="shared" si="24"/>
        <v>#VALUE!</v>
      </c>
      <c r="V440" s="25"/>
      <c r="W440" s="25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</row>
    <row r="441" spans="1:42" ht="12.75" customHeight="1" x14ac:dyDescent="0.2">
      <c r="A441" s="16"/>
      <c r="B441" s="21" t="s">
        <v>458</v>
      </c>
      <c r="C441" s="13">
        <v>44476.026780555556</v>
      </c>
      <c r="D441" s="22">
        <v>-207.24600000000001</v>
      </c>
      <c r="E441" s="22">
        <v>167.50200000000001</v>
      </c>
      <c r="F441" s="22">
        <v>48.354999999999997</v>
      </c>
      <c r="G441" s="22">
        <v>-89.367999999999995</v>
      </c>
      <c r="H441" s="22">
        <v>100.67100000000001</v>
      </c>
      <c r="I441" s="22">
        <v>26.460999999999999</v>
      </c>
      <c r="J441" s="22">
        <v>0.2</v>
      </c>
      <c r="K441" s="23">
        <f t="shared" ref="K441:K487" si="25">K440</f>
        <v>0.20668749999999994</v>
      </c>
      <c r="L441" s="22">
        <v>-179.22399999999999</v>
      </c>
      <c r="M441" s="22">
        <v>178.066</v>
      </c>
      <c r="N441" s="22">
        <v>53.648000000000003</v>
      </c>
      <c r="O441" s="22">
        <v>-96.548000000000002</v>
      </c>
      <c r="P441" s="22">
        <v>82.188999999999993</v>
      </c>
      <c r="Q441" s="22">
        <v>31.17</v>
      </c>
      <c r="R441" s="22">
        <v>0.188</v>
      </c>
      <c r="S441" s="23">
        <f t="shared" ref="S441:S487" si="26">S440</f>
        <v>0.19610416666666672</v>
      </c>
      <c r="T441" s="22">
        <v>1.5229999999999999</v>
      </c>
      <c r="U441" s="31">
        <f t="shared" si="24"/>
        <v>0.81881720430107519</v>
      </c>
      <c r="V441" s="25"/>
      <c r="W441" s="25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</row>
    <row r="442" spans="1:42" ht="12.75" customHeight="1" x14ac:dyDescent="0.2">
      <c r="A442" s="16"/>
      <c r="B442" s="21" t="s">
        <v>459</v>
      </c>
      <c r="C442" s="13">
        <v>44476.047613831019</v>
      </c>
      <c r="D442" s="22">
        <v>-206.86099999999999</v>
      </c>
      <c r="E442" s="22">
        <v>175.334</v>
      </c>
      <c r="F442" s="22">
        <v>49.927999999999997</v>
      </c>
      <c r="G442" s="22">
        <v>-95.144999999999996</v>
      </c>
      <c r="H442" s="22">
        <v>76.459999999999994</v>
      </c>
      <c r="I442" s="22">
        <v>27.666</v>
      </c>
      <c r="J442" s="22">
        <v>0.22500000000000001</v>
      </c>
      <c r="K442" s="23">
        <f t="shared" si="25"/>
        <v>0.20668749999999994</v>
      </c>
      <c r="L442" s="22">
        <v>-186.297</v>
      </c>
      <c r="M442" s="22">
        <v>196.89699999999999</v>
      </c>
      <c r="N442" s="22">
        <v>56.061</v>
      </c>
      <c r="O442" s="22">
        <v>-109.904</v>
      </c>
      <c r="P442" s="22">
        <v>100.658</v>
      </c>
      <c r="Q442" s="22">
        <v>32.92</v>
      </c>
      <c r="R442" s="22">
        <v>0.22500000000000001</v>
      </c>
      <c r="S442" s="23">
        <f t="shared" si="26"/>
        <v>0.19610416666666672</v>
      </c>
      <c r="T442" s="22" t="s">
        <v>26</v>
      </c>
      <c r="U442" s="31" t="e">
        <f t="shared" si="24"/>
        <v>#VALUE!</v>
      </c>
      <c r="V442" s="25"/>
      <c r="W442" s="25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</row>
    <row r="443" spans="1:42" ht="12.75" customHeight="1" x14ac:dyDescent="0.2">
      <c r="A443" s="16"/>
      <c r="B443" s="21" t="s">
        <v>460</v>
      </c>
      <c r="C443" s="13">
        <v>44476.068447106481</v>
      </c>
      <c r="D443" s="22">
        <v>-183.613</v>
      </c>
      <c r="E443" s="22">
        <v>155.328</v>
      </c>
      <c r="F443" s="22">
        <v>50.92</v>
      </c>
      <c r="G443" s="22">
        <v>-88.307000000000002</v>
      </c>
      <c r="H443" s="22">
        <v>88.210999999999999</v>
      </c>
      <c r="I443" s="22">
        <v>28.448</v>
      </c>
      <c r="J443" s="22">
        <v>0.21299999999999999</v>
      </c>
      <c r="K443" s="23">
        <f t="shared" si="25"/>
        <v>0.20668749999999994</v>
      </c>
      <c r="L443" s="22">
        <v>-184.86199999999999</v>
      </c>
      <c r="M443" s="22">
        <v>194.245</v>
      </c>
      <c r="N443" s="22">
        <v>52.552</v>
      </c>
      <c r="O443" s="22">
        <v>-98.727999999999994</v>
      </c>
      <c r="P443" s="22">
        <v>96.617999999999995</v>
      </c>
      <c r="Q443" s="22">
        <v>30.99</v>
      </c>
      <c r="R443" s="22">
        <v>0.22500000000000001</v>
      </c>
      <c r="S443" s="23">
        <f t="shared" si="26"/>
        <v>0.19610416666666672</v>
      </c>
      <c r="T443" s="22">
        <v>3.238</v>
      </c>
      <c r="U443" s="31">
        <f t="shared" si="24"/>
        <v>1.7408602150537633</v>
      </c>
      <c r="V443" s="25"/>
      <c r="W443" s="25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</row>
    <row r="444" spans="1:42" ht="12.75" customHeight="1" x14ac:dyDescent="0.2">
      <c r="A444" s="16"/>
      <c r="B444" s="21" t="s">
        <v>461</v>
      </c>
      <c r="C444" s="13">
        <v>44476.089280381944</v>
      </c>
      <c r="D444" s="22">
        <v>-201.40600000000001</v>
      </c>
      <c r="E444" s="22">
        <v>182.07400000000001</v>
      </c>
      <c r="F444" s="22">
        <v>53.002000000000002</v>
      </c>
      <c r="G444" s="22">
        <v>-88.44</v>
      </c>
      <c r="H444" s="22">
        <v>80.238</v>
      </c>
      <c r="I444" s="22">
        <v>28.364000000000001</v>
      </c>
      <c r="J444" s="22">
        <v>0.22500000000000001</v>
      </c>
      <c r="K444" s="23">
        <f t="shared" si="25"/>
        <v>0.20668749999999994</v>
      </c>
      <c r="L444" s="22">
        <v>-175.255</v>
      </c>
      <c r="M444" s="22">
        <v>203.44</v>
      </c>
      <c r="N444" s="22">
        <v>53.527000000000001</v>
      </c>
      <c r="O444" s="22">
        <v>-101.429</v>
      </c>
      <c r="P444" s="22">
        <v>98.694000000000003</v>
      </c>
      <c r="Q444" s="22">
        <v>30.925999999999998</v>
      </c>
      <c r="R444" s="22">
        <v>0.22500000000000001</v>
      </c>
      <c r="S444" s="23">
        <f t="shared" si="26"/>
        <v>0.19610416666666672</v>
      </c>
      <c r="T444" s="22" t="s">
        <v>26</v>
      </c>
      <c r="U444" s="31" t="e">
        <f t="shared" si="24"/>
        <v>#VALUE!</v>
      </c>
      <c r="V444" s="25"/>
      <c r="W444" s="25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</row>
    <row r="445" spans="1:42" ht="12.75" customHeight="1" x14ac:dyDescent="0.2">
      <c r="A445" s="16"/>
      <c r="B445" s="21" t="s">
        <v>462</v>
      </c>
      <c r="C445" s="13">
        <v>44476.110113657407</v>
      </c>
      <c r="D445" s="22">
        <v>-170.87299999999999</v>
      </c>
      <c r="E445" s="22">
        <v>166.34399999999999</v>
      </c>
      <c r="F445" s="22">
        <v>51.593000000000004</v>
      </c>
      <c r="G445" s="22">
        <v>-85.128</v>
      </c>
      <c r="H445" s="22">
        <v>86.7</v>
      </c>
      <c r="I445" s="22">
        <v>28.905000000000001</v>
      </c>
      <c r="J445" s="22">
        <v>0.188</v>
      </c>
      <c r="K445" s="23">
        <f t="shared" si="25"/>
        <v>0.20668749999999994</v>
      </c>
      <c r="L445" s="22">
        <v>-177.428</v>
      </c>
      <c r="M445" s="22">
        <v>192.554</v>
      </c>
      <c r="N445" s="22">
        <v>55.643000000000001</v>
      </c>
      <c r="O445" s="22">
        <v>-99.114000000000004</v>
      </c>
      <c r="P445" s="22">
        <v>104.91200000000001</v>
      </c>
      <c r="Q445" s="22">
        <v>33.673000000000002</v>
      </c>
      <c r="R445" s="22">
        <v>0.17499999999999999</v>
      </c>
      <c r="S445" s="23">
        <f t="shared" si="26"/>
        <v>0.19610416666666672</v>
      </c>
      <c r="T445" s="22">
        <v>1.772</v>
      </c>
      <c r="U445" s="31">
        <f t="shared" si="24"/>
        <v>0.95268817204301071</v>
      </c>
      <c r="V445" s="25"/>
      <c r="W445" s="25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</row>
    <row r="446" spans="1:42" ht="12.75" customHeight="1" x14ac:dyDescent="0.2">
      <c r="A446" s="16"/>
      <c r="B446" s="21" t="s">
        <v>463</v>
      </c>
      <c r="C446" s="13">
        <v>44476.13094693287</v>
      </c>
      <c r="D446" s="22">
        <v>-204.87799999999999</v>
      </c>
      <c r="E446" s="22">
        <v>161.245</v>
      </c>
      <c r="F446" s="22">
        <v>51.51</v>
      </c>
      <c r="G446" s="22">
        <v>-93.399000000000001</v>
      </c>
      <c r="H446" s="22">
        <v>72.938000000000002</v>
      </c>
      <c r="I446" s="22">
        <v>28.056000000000001</v>
      </c>
      <c r="J446" s="22">
        <v>0.22500000000000001</v>
      </c>
      <c r="K446" s="23">
        <f t="shared" si="25"/>
        <v>0.20668749999999994</v>
      </c>
      <c r="L446" s="22">
        <v>-191.32900000000001</v>
      </c>
      <c r="M446" s="22">
        <v>174.72300000000001</v>
      </c>
      <c r="N446" s="22">
        <v>56.094999999999999</v>
      </c>
      <c r="O446" s="22">
        <v>-97.582999999999998</v>
      </c>
      <c r="P446" s="22">
        <v>95.921999999999997</v>
      </c>
      <c r="Q446" s="22">
        <v>32.773000000000003</v>
      </c>
      <c r="R446" s="22">
        <v>0.22500000000000001</v>
      </c>
      <c r="S446" s="23">
        <f t="shared" si="26"/>
        <v>0.19610416666666672</v>
      </c>
      <c r="T446" s="22" t="s">
        <v>26</v>
      </c>
      <c r="U446" s="31" t="e">
        <f t="shared" si="24"/>
        <v>#VALUE!</v>
      </c>
      <c r="V446" s="25"/>
      <c r="W446" s="25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</row>
    <row r="447" spans="1:42" ht="12.75" customHeight="1" x14ac:dyDescent="0.2">
      <c r="A447" s="16"/>
      <c r="B447" s="21" t="s">
        <v>464</v>
      </c>
      <c r="C447" s="13">
        <v>44476.151780208333</v>
      </c>
      <c r="D447" s="22">
        <v>-176.99799999999999</v>
      </c>
      <c r="E447" s="22">
        <v>200.27</v>
      </c>
      <c r="F447" s="22">
        <v>53.523000000000003</v>
      </c>
      <c r="G447" s="22">
        <v>-102.473</v>
      </c>
      <c r="H447" s="22">
        <v>105.518</v>
      </c>
      <c r="I447" s="22">
        <v>30.577000000000002</v>
      </c>
      <c r="J447" s="22">
        <v>0.21299999999999999</v>
      </c>
      <c r="K447" s="23">
        <f t="shared" si="25"/>
        <v>0.20668749999999994</v>
      </c>
      <c r="L447" s="22">
        <v>-210.45699999999999</v>
      </c>
      <c r="M447" s="22">
        <v>227.40100000000001</v>
      </c>
      <c r="N447" s="22">
        <v>56.945999999999998</v>
      </c>
      <c r="O447" s="22">
        <v>-122.90300000000001</v>
      </c>
      <c r="P447" s="22">
        <v>123.87</v>
      </c>
      <c r="Q447" s="22">
        <v>35.185000000000002</v>
      </c>
      <c r="R447" s="22">
        <v>0.17499999999999999</v>
      </c>
      <c r="S447" s="23">
        <f t="shared" si="26"/>
        <v>0.19610416666666672</v>
      </c>
      <c r="T447" s="22">
        <v>1.845</v>
      </c>
      <c r="U447" s="31">
        <f t="shared" si="24"/>
        <v>0.99193548387096764</v>
      </c>
      <c r="V447" s="25"/>
      <c r="W447" s="25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</row>
    <row r="448" spans="1:42" ht="12.75" customHeight="1" x14ac:dyDescent="0.2">
      <c r="A448" s="16"/>
      <c r="B448" s="21" t="s">
        <v>465</v>
      </c>
      <c r="C448" s="13">
        <v>44476.172613483795</v>
      </c>
      <c r="D448" s="22">
        <v>-205.28399999999999</v>
      </c>
      <c r="E448" s="22">
        <v>219.10599999999999</v>
      </c>
      <c r="F448" s="22">
        <v>55.387</v>
      </c>
      <c r="G448" s="22">
        <v>-103.336</v>
      </c>
      <c r="H448" s="22">
        <v>103.065</v>
      </c>
      <c r="I448" s="22">
        <v>30.905999999999999</v>
      </c>
      <c r="J448" s="22">
        <v>0.21299999999999999</v>
      </c>
      <c r="K448" s="23">
        <f t="shared" si="25"/>
        <v>0.20668749999999994</v>
      </c>
      <c r="L448" s="22">
        <v>-221.536</v>
      </c>
      <c r="M448" s="22">
        <v>209.941</v>
      </c>
      <c r="N448" s="22">
        <v>65.683999999999997</v>
      </c>
      <c r="O448" s="22">
        <v>-123.23</v>
      </c>
      <c r="P448" s="22">
        <v>111.825</v>
      </c>
      <c r="Q448" s="22">
        <v>38.576999999999998</v>
      </c>
      <c r="R448" s="22">
        <v>0.21299999999999999</v>
      </c>
      <c r="S448" s="23">
        <f t="shared" si="26"/>
        <v>0.19610416666666672</v>
      </c>
      <c r="T448" s="22" t="s">
        <v>26</v>
      </c>
      <c r="U448" s="31" t="e">
        <f t="shared" si="24"/>
        <v>#VALUE!</v>
      </c>
      <c r="V448" s="25"/>
      <c r="W448" s="25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</row>
    <row r="449" spans="1:42" ht="12.75" customHeight="1" x14ac:dyDescent="0.2">
      <c r="A449" s="16"/>
      <c r="B449" s="21" t="s">
        <v>466</v>
      </c>
      <c r="C449" s="13">
        <v>44476.193446759258</v>
      </c>
      <c r="D449" s="22">
        <v>-198.76300000000001</v>
      </c>
      <c r="E449" s="22">
        <v>216.267</v>
      </c>
      <c r="F449" s="22">
        <v>57.896000000000001</v>
      </c>
      <c r="G449" s="22">
        <v>-116.636</v>
      </c>
      <c r="H449" s="22">
        <v>108.10599999999999</v>
      </c>
      <c r="I449" s="22">
        <v>32.536999999999999</v>
      </c>
      <c r="J449" s="22">
        <v>0.21299999999999999</v>
      </c>
      <c r="K449" s="23">
        <f t="shared" si="25"/>
        <v>0.20668749999999994</v>
      </c>
      <c r="L449" s="22">
        <v>-205.71199999999999</v>
      </c>
      <c r="M449" s="22">
        <v>233.64699999999999</v>
      </c>
      <c r="N449" s="22">
        <v>65.183999999999997</v>
      </c>
      <c r="O449" s="22">
        <v>-113.474</v>
      </c>
      <c r="P449" s="22">
        <v>112.65300000000001</v>
      </c>
      <c r="Q449" s="22">
        <v>38.094000000000001</v>
      </c>
      <c r="R449" s="22">
        <v>0.21299999999999999</v>
      </c>
      <c r="S449" s="23">
        <f t="shared" si="26"/>
        <v>0.19610416666666672</v>
      </c>
      <c r="T449" s="22">
        <v>1.734</v>
      </c>
      <c r="U449" s="31">
        <f t="shared" si="24"/>
        <v>0.93225806451612903</v>
      </c>
      <c r="V449" s="25"/>
      <c r="W449" s="25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</row>
    <row r="450" spans="1:42" ht="12.75" customHeight="1" x14ac:dyDescent="0.2">
      <c r="A450" s="16"/>
      <c r="B450" s="21" t="s">
        <v>467</v>
      </c>
      <c r="C450" s="13">
        <v>44476.214280034721</v>
      </c>
      <c r="D450" s="22">
        <v>-199.19300000000001</v>
      </c>
      <c r="E450" s="22">
        <v>226.89500000000001</v>
      </c>
      <c r="F450" s="22">
        <v>65.221000000000004</v>
      </c>
      <c r="G450" s="22">
        <v>-101.68300000000001</v>
      </c>
      <c r="H450" s="22">
        <v>116.291</v>
      </c>
      <c r="I450" s="22">
        <v>36.600999999999999</v>
      </c>
      <c r="J450" s="22">
        <v>0.21299999999999999</v>
      </c>
      <c r="K450" s="23">
        <f t="shared" si="25"/>
        <v>0.20668749999999994</v>
      </c>
      <c r="L450" s="22">
        <v>-269.512</v>
      </c>
      <c r="M450" s="22">
        <v>266.93299999999999</v>
      </c>
      <c r="N450" s="22">
        <v>75.605999999999995</v>
      </c>
      <c r="O450" s="22">
        <v>-143.465</v>
      </c>
      <c r="P450" s="22">
        <v>139.941</v>
      </c>
      <c r="Q450" s="22">
        <v>43.274000000000001</v>
      </c>
      <c r="R450" s="22">
        <v>0.21299999999999999</v>
      </c>
      <c r="S450" s="23">
        <f t="shared" si="26"/>
        <v>0.19610416666666672</v>
      </c>
      <c r="T450" s="22" t="s">
        <v>26</v>
      </c>
      <c r="U450" s="31" t="e">
        <f t="shared" si="24"/>
        <v>#VALUE!</v>
      </c>
      <c r="V450" s="25"/>
      <c r="W450" s="25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</row>
    <row r="451" spans="1:42" ht="12.75" customHeight="1" x14ac:dyDescent="0.2">
      <c r="A451" s="16"/>
      <c r="B451" s="21" t="s">
        <v>468</v>
      </c>
      <c r="C451" s="13">
        <v>44476.235113310184</v>
      </c>
      <c r="D451" s="22">
        <v>-229.69499999999999</v>
      </c>
      <c r="E451" s="22">
        <v>257.75700000000001</v>
      </c>
      <c r="F451" s="22">
        <v>69.302999999999997</v>
      </c>
      <c r="G451" s="22">
        <v>-119.66500000000001</v>
      </c>
      <c r="H451" s="22">
        <v>110.54300000000001</v>
      </c>
      <c r="I451" s="22">
        <v>40.51</v>
      </c>
      <c r="J451" s="22">
        <v>0.2</v>
      </c>
      <c r="K451" s="23">
        <f t="shared" si="25"/>
        <v>0.20668749999999994</v>
      </c>
      <c r="L451" s="22">
        <v>-259.87900000000002</v>
      </c>
      <c r="M451" s="22">
        <v>278.84399999999999</v>
      </c>
      <c r="N451" s="22">
        <v>76.995000000000005</v>
      </c>
      <c r="O451" s="22">
        <v>-144.88499999999999</v>
      </c>
      <c r="P451" s="22">
        <v>150.70699999999999</v>
      </c>
      <c r="Q451" s="22">
        <v>45.308999999999997</v>
      </c>
      <c r="R451" s="22">
        <v>0.188</v>
      </c>
      <c r="S451" s="23">
        <f t="shared" si="26"/>
        <v>0.19610416666666672</v>
      </c>
      <c r="T451" s="22">
        <v>1.968</v>
      </c>
      <c r="U451" s="31">
        <f t="shared" si="24"/>
        <v>1.0580645161290323</v>
      </c>
      <c r="V451" s="25"/>
      <c r="W451" s="25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</row>
    <row r="452" spans="1:42" ht="12.75" customHeight="1" x14ac:dyDescent="0.2">
      <c r="A452" s="16"/>
      <c r="B452" s="21" t="s">
        <v>469</v>
      </c>
      <c r="C452" s="13">
        <v>44476.255946585647</v>
      </c>
      <c r="D452" s="22">
        <v>-200.643</v>
      </c>
      <c r="E452" s="22">
        <v>256.79300000000001</v>
      </c>
      <c r="F452" s="22">
        <v>67.078000000000003</v>
      </c>
      <c r="G452" s="22">
        <v>-127.378</v>
      </c>
      <c r="H452" s="22">
        <v>115.233</v>
      </c>
      <c r="I452" s="22">
        <v>39.918999999999997</v>
      </c>
      <c r="J452" s="22">
        <v>0.188</v>
      </c>
      <c r="K452" s="23">
        <f t="shared" si="25"/>
        <v>0.20668749999999994</v>
      </c>
      <c r="L452" s="22">
        <v>-256.32299999999998</v>
      </c>
      <c r="M452" s="22">
        <v>246.178</v>
      </c>
      <c r="N452" s="22">
        <v>76.295000000000002</v>
      </c>
      <c r="O452" s="22">
        <v>-134.31700000000001</v>
      </c>
      <c r="P452" s="22">
        <v>154.71100000000001</v>
      </c>
      <c r="Q452" s="22">
        <v>47.712000000000003</v>
      </c>
      <c r="R452" s="22">
        <v>0.188</v>
      </c>
      <c r="S452" s="23">
        <f t="shared" si="26"/>
        <v>0.19610416666666672</v>
      </c>
      <c r="T452" s="22" t="s">
        <v>26</v>
      </c>
      <c r="U452" s="31" t="e">
        <f t="shared" si="24"/>
        <v>#VALUE!</v>
      </c>
      <c r="V452" s="25"/>
      <c r="W452" s="25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</row>
    <row r="453" spans="1:42" ht="12.75" customHeight="1" x14ac:dyDescent="0.2">
      <c r="A453" s="16"/>
      <c r="B453" s="21" t="s">
        <v>470</v>
      </c>
      <c r="C453" s="13">
        <v>44476.276779861109</v>
      </c>
      <c r="D453" s="22">
        <v>-230.27799999999999</v>
      </c>
      <c r="E453" s="22">
        <v>288.50299999999999</v>
      </c>
      <c r="F453" s="22">
        <v>68.509</v>
      </c>
      <c r="G453" s="22">
        <v>-143.90899999999999</v>
      </c>
      <c r="H453" s="22">
        <v>117.86199999999999</v>
      </c>
      <c r="I453" s="22">
        <v>40.155999999999999</v>
      </c>
      <c r="J453" s="22">
        <v>0.2</v>
      </c>
      <c r="K453" s="23">
        <f t="shared" si="25"/>
        <v>0.20668749999999994</v>
      </c>
      <c r="L453" s="22">
        <v>-270.76400000000001</v>
      </c>
      <c r="M453" s="22">
        <v>300.053</v>
      </c>
      <c r="N453" s="22">
        <v>79.37</v>
      </c>
      <c r="O453" s="22">
        <v>-157.43299999999999</v>
      </c>
      <c r="P453" s="22">
        <v>170.95599999999999</v>
      </c>
      <c r="Q453" s="22">
        <v>47.890999999999998</v>
      </c>
      <c r="R453" s="22">
        <v>0.2</v>
      </c>
      <c r="S453" s="23">
        <f t="shared" si="26"/>
        <v>0.19610416666666672</v>
      </c>
      <c r="T453" s="22">
        <v>3.7160000000000002</v>
      </c>
      <c r="U453" s="31">
        <f t="shared" si="24"/>
        <v>1.9978494623655914</v>
      </c>
      <c r="V453" s="25"/>
      <c r="W453" s="25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</row>
    <row r="454" spans="1:42" ht="12.75" customHeight="1" x14ac:dyDescent="0.2">
      <c r="A454" s="16"/>
      <c r="B454" s="21" t="s">
        <v>471</v>
      </c>
      <c r="C454" s="13">
        <v>44476.297613136572</v>
      </c>
      <c r="D454" s="22">
        <v>-234.30099999999999</v>
      </c>
      <c r="E454" s="22">
        <v>243.04599999999999</v>
      </c>
      <c r="F454" s="22">
        <v>67.001999999999995</v>
      </c>
      <c r="G454" s="22">
        <v>-124.17400000000001</v>
      </c>
      <c r="H454" s="22">
        <v>104.11799999999999</v>
      </c>
      <c r="I454" s="22">
        <v>38.231999999999999</v>
      </c>
      <c r="J454" s="22">
        <v>0.2</v>
      </c>
      <c r="K454" s="23">
        <f t="shared" si="25"/>
        <v>0.20668749999999994</v>
      </c>
      <c r="L454" s="22">
        <v>-268.81900000000002</v>
      </c>
      <c r="M454" s="22">
        <v>255.91399999999999</v>
      </c>
      <c r="N454" s="22">
        <v>75.427999999999997</v>
      </c>
      <c r="O454" s="22">
        <v>-156.52199999999999</v>
      </c>
      <c r="P454" s="22">
        <v>156.654</v>
      </c>
      <c r="Q454" s="22">
        <v>45.491</v>
      </c>
      <c r="R454" s="22">
        <v>0.2</v>
      </c>
      <c r="S454" s="23">
        <f t="shared" si="26"/>
        <v>0.19610416666666672</v>
      </c>
      <c r="T454" s="22" t="s">
        <v>26</v>
      </c>
      <c r="U454" s="31" t="e">
        <f t="shared" si="24"/>
        <v>#VALUE!</v>
      </c>
      <c r="V454" s="25"/>
      <c r="W454" s="25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</row>
    <row r="455" spans="1:42" ht="12.75" customHeight="1" x14ac:dyDescent="0.2">
      <c r="A455" s="16"/>
      <c r="B455" s="21" t="s">
        <v>472</v>
      </c>
      <c r="C455" s="13">
        <v>44476.318446412035</v>
      </c>
      <c r="D455" s="22">
        <v>-211.11699999999999</v>
      </c>
      <c r="E455" s="22">
        <v>223.13</v>
      </c>
      <c r="F455" s="22">
        <v>64.709999999999994</v>
      </c>
      <c r="G455" s="22">
        <v>-119.709</v>
      </c>
      <c r="H455" s="22">
        <v>104.11799999999999</v>
      </c>
      <c r="I455" s="22">
        <v>38.023000000000003</v>
      </c>
      <c r="J455" s="22">
        <v>0.188</v>
      </c>
      <c r="K455" s="23">
        <f t="shared" si="25"/>
        <v>0.20668749999999994</v>
      </c>
      <c r="L455" s="22">
        <v>-266.89699999999999</v>
      </c>
      <c r="M455" s="22">
        <v>283.34899999999999</v>
      </c>
      <c r="N455" s="22">
        <v>75.873999999999995</v>
      </c>
      <c r="O455" s="22">
        <v>-166.505</v>
      </c>
      <c r="P455" s="22">
        <v>154.20400000000001</v>
      </c>
      <c r="Q455" s="22">
        <v>46.348999999999997</v>
      </c>
      <c r="R455" s="22">
        <v>0.188</v>
      </c>
      <c r="S455" s="23">
        <f t="shared" si="26"/>
        <v>0.19610416666666672</v>
      </c>
      <c r="T455" s="22">
        <v>2.5649999999999999</v>
      </c>
      <c r="U455" s="31">
        <f t="shared" si="24"/>
        <v>1.379032258064516</v>
      </c>
      <c r="V455" s="25"/>
      <c r="W455" s="25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</row>
    <row r="456" spans="1:42" ht="12.75" customHeight="1" x14ac:dyDescent="0.2">
      <c r="A456" s="16"/>
      <c r="B456" s="21" t="s">
        <v>473</v>
      </c>
      <c r="C456" s="13">
        <v>44476.339279687498</v>
      </c>
      <c r="D456" s="22">
        <v>-196.98400000000001</v>
      </c>
      <c r="E456" s="22">
        <v>234.749</v>
      </c>
      <c r="F456" s="22">
        <v>68.073999999999998</v>
      </c>
      <c r="G456" s="22">
        <v>-94.587999999999994</v>
      </c>
      <c r="H456" s="22">
        <v>125.592</v>
      </c>
      <c r="I456" s="22">
        <v>39.664999999999999</v>
      </c>
      <c r="J456" s="22">
        <v>0.188</v>
      </c>
      <c r="K456" s="23">
        <f t="shared" si="25"/>
        <v>0.20668749999999994</v>
      </c>
      <c r="L456" s="22">
        <v>-306.03899999999999</v>
      </c>
      <c r="M456" s="22">
        <v>304.92500000000001</v>
      </c>
      <c r="N456" s="22">
        <v>76.688999999999993</v>
      </c>
      <c r="O456" s="22">
        <v>-151.767</v>
      </c>
      <c r="P456" s="22">
        <v>133.78800000000001</v>
      </c>
      <c r="Q456" s="22">
        <v>47.746000000000002</v>
      </c>
      <c r="R456" s="22">
        <v>0.188</v>
      </c>
      <c r="S456" s="23">
        <f t="shared" si="26"/>
        <v>0.19610416666666672</v>
      </c>
      <c r="T456" s="22" t="s">
        <v>26</v>
      </c>
      <c r="U456" s="31" t="e">
        <f t="shared" si="24"/>
        <v>#VALUE!</v>
      </c>
      <c r="V456" s="25"/>
      <c r="W456" s="25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</row>
    <row r="457" spans="1:42" ht="12.75" customHeight="1" x14ac:dyDescent="0.2">
      <c r="A457" s="16"/>
      <c r="B457" s="21" t="s">
        <v>474</v>
      </c>
      <c r="C457" s="13">
        <v>44476.360112962961</v>
      </c>
      <c r="D457" s="22">
        <v>-207.97900000000001</v>
      </c>
      <c r="E457" s="22">
        <v>261.02699999999999</v>
      </c>
      <c r="F457" s="22">
        <v>65.468999999999994</v>
      </c>
      <c r="G457" s="22">
        <v>-120.414</v>
      </c>
      <c r="H457" s="22">
        <v>117.431</v>
      </c>
      <c r="I457" s="22">
        <v>37.828000000000003</v>
      </c>
      <c r="J457" s="22">
        <v>0.188</v>
      </c>
      <c r="K457" s="23">
        <f t="shared" si="25"/>
        <v>0.20668749999999994</v>
      </c>
      <c r="L457" s="22">
        <v>-252.36699999999999</v>
      </c>
      <c r="M457" s="22">
        <v>267.66199999999998</v>
      </c>
      <c r="N457" s="22">
        <v>75.313000000000002</v>
      </c>
      <c r="O457" s="22">
        <v>-165.91900000000001</v>
      </c>
      <c r="P457" s="22">
        <v>135.91900000000001</v>
      </c>
      <c r="Q457" s="22">
        <v>47.981000000000002</v>
      </c>
      <c r="R457" s="22">
        <v>0.17499999999999999</v>
      </c>
      <c r="S457" s="23">
        <f t="shared" si="26"/>
        <v>0.19610416666666672</v>
      </c>
      <c r="T457" s="22">
        <v>2.9385999999999974</v>
      </c>
      <c r="U457" s="31">
        <f t="shared" ref="U457:U520" si="27">T457/1.86</f>
        <v>1.5798924731182782</v>
      </c>
      <c r="V457" s="25"/>
      <c r="W457" s="25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</row>
    <row r="458" spans="1:42" ht="12.75" customHeight="1" x14ac:dyDescent="0.2">
      <c r="A458" s="16"/>
      <c r="B458" s="21" t="s">
        <v>475</v>
      </c>
      <c r="C458" s="13">
        <v>44476.380946238423</v>
      </c>
      <c r="D458" s="22">
        <v>-232.63399999999999</v>
      </c>
      <c r="E458" s="22">
        <v>229.86600000000001</v>
      </c>
      <c r="F458" s="22">
        <v>69.637</v>
      </c>
      <c r="G458" s="22">
        <v>-127.42700000000001</v>
      </c>
      <c r="H458" s="22">
        <v>112.187</v>
      </c>
      <c r="I458" s="22">
        <v>39.145000000000003</v>
      </c>
      <c r="J458" s="22">
        <v>0.2</v>
      </c>
      <c r="K458" s="23">
        <f t="shared" si="25"/>
        <v>0.20668749999999994</v>
      </c>
      <c r="L458" s="22">
        <v>-271.54700000000003</v>
      </c>
      <c r="M458" s="22">
        <v>278.74700000000001</v>
      </c>
      <c r="N458" s="22">
        <v>73.766000000000005</v>
      </c>
      <c r="O458" s="22">
        <v>-128.17599999999999</v>
      </c>
      <c r="P458" s="22">
        <v>170.84299999999999</v>
      </c>
      <c r="Q458" s="22">
        <v>47.762</v>
      </c>
      <c r="R458" s="22">
        <v>0.188</v>
      </c>
      <c r="S458" s="23">
        <f t="shared" si="26"/>
        <v>0.19610416666666672</v>
      </c>
      <c r="T458" s="22" t="s">
        <v>26</v>
      </c>
      <c r="U458" s="31" t="e">
        <f t="shared" si="27"/>
        <v>#VALUE!</v>
      </c>
      <c r="V458" s="25"/>
      <c r="W458" s="25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</row>
    <row r="459" spans="1:42" ht="12.75" customHeight="1" x14ac:dyDescent="0.2">
      <c r="A459" s="16"/>
      <c r="B459" s="21" t="s">
        <v>476</v>
      </c>
      <c r="C459" s="13">
        <v>44476.401779513886</v>
      </c>
      <c r="D459" s="22">
        <v>-211.988</v>
      </c>
      <c r="E459" s="22">
        <v>245.21899999999999</v>
      </c>
      <c r="F459" s="22">
        <v>63.19</v>
      </c>
      <c r="G459" s="22">
        <v>-115.304</v>
      </c>
      <c r="H459" s="22">
        <v>104.727</v>
      </c>
      <c r="I459" s="22">
        <v>36.642000000000003</v>
      </c>
      <c r="J459" s="22">
        <v>0.188</v>
      </c>
      <c r="K459" s="23">
        <f t="shared" si="25"/>
        <v>0.20668749999999994</v>
      </c>
      <c r="L459" s="22">
        <v>-311.66699999999997</v>
      </c>
      <c r="M459" s="22">
        <v>303.899</v>
      </c>
      <c r="N459" s="22">
        <v>75.775999999999996</v>
      </c>
      <c r="O459" s="22">
        <v>-178.45500000000001</v>
      </c>
      <c r="P459" s="22">
        <v>156.76400000000001</v>
      </c>
      <c r="Q459" s="22">
        <v>46.91</v>
      </c>
      <c r="R459" s="22">
        <v>0.188</v>
      </c>
      <c r="S459" s="23">
        <f t="shared" si="26"/>
        <v>0.19610416666666672</v>
      </c>
      <c r="T459" s="22">
        <v>2.3540000000000001</v>
      </c>
      <c r="U459" s="31">
        <f t="shared" si="27"/>
        <v>1.2655913978494624</v>
      </c>
      <c r="V459" s="25"/>
      <c r="W459" s="25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</row>
    <row r="460" spans="1:42" ht="12.75" customHeight="1" x14ac:dyDescent="0.2">
      <c r="A460" s="16"/>
      <c r="B460" s="21" t="s">
        <v>477</v>
      </c>
      <c r="C460" s="13">
        <v>44476.422612789349</v>
      </c>
      <c r="D460" s="22">
        <v>-224.68700000000001</v>
      </c>
      <c r="E460" s="22">
        <v>227.845</v>
      </c>
      <c r="F460" s="22">
        <v>65.763000000000005</v>
      </c>
      <c r="G460" s="22">
        <v>-144.04300000000001</v>
      </c>
      <c r="H460" s="22">
        <v>92.254999999999995</v>
      </c>
      <c r="I460" s="22">
        <v>38.677999999999997</v>
      </c>
      <c r="J460" s="22">
        <v>0.2</v>
      </c>
      <c r="K460" s="23">
        <f t="shared" si="25"/>
        <v>0.20668749999999994</v>
      </c>
      <c r="L460" s="22">
        <v>-231.65600000000001</v>
      </c>
      <c r="M460" s="22">
        <v>232.923</v>
      </c>
      <c r="N460" s="22">
        <v>71.441000000000003</v>
      </c>
      <c r="O460" s="22">
        <v>-170.78700000000001</v>
      </c>
      <c r="P460" s="22">
        <v>105.041</v>
      </c>
      <c r="Q460" s="22">
        <v>47.317999999999998</v>
      </c>
      <c r="R460" s="22">
        <v>0.2</v>
      </c>
      <c r="S460" s="23">
        <f t="shared" si="26"/>
        <v>0.19610416666666672</v>
      </c>
      <c r="T460" s="22" t="s">
        <v>26</v>
      </c>
      <c r="U460" s="31" t="e">
        <f t="shared" si="27"/>
        <v>#VALUE!</v>
      </c>
      <c r="V460" s="25"/>
      <c r="W460" s="25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</row>
    <row r="461" spans="1:42" ht="12.75" customHeight="1" x14ac:dyDescent="0.2">
      <c r="A461" s="16"/>
      <c r="B461" s="21" t="s">
        <v>478</v>
      </c>
      <c r="C461" s="13">
        <v>44476.443446064812</v>
      </c>
      <c r="D461" s="22">
        <v>-209.08</v>
      </c>
      <c r="E461" s="22">
        <v>197.417</v>
      </c>
      <c r="F461" s="22">
        <v>64.811000000000007</v>
      </c>
      <c r="G461" s="22">
        <v>-116.77500000000001</v>
      </c>
      <c r="H461" s="22">
        <v>92.343000000000004</v>
      </c>
      <c r="I461" s="22">
        <v>35.917999999999999</v>
      </c>
      <c r="J461" s="22">
        <v>0.22500000000000001</v>
      </c>
      <c r="K461" s="23">
        <f t="shared" si="25"/>
        <v>0.20668749999999994</v>
      </c>
      <c r="L461" s="22">
        <v>-254.96</v>
      </c>
      <c r="M461" s="22">
        <v>244.125</v>
      </c>
      <c r="N461" s="22">
        <v>73.234999999999999</v>
      </c>
      <c r="O461" s="22">
        <v>-152.86099999999999</v>
      </c>
      <c r="P461" s="22">
        <v>115.929</v>
      </c>
      <c r="Q461" s="22">
        <v>44.122</v>
      </c>
      <c r="R461" s="22">
        <v>0.17499999999999999</v>
      </c>
      <c r="S461" s="23">
        <f t="shared" si="26"/>
        <v>0.19610416666666672</v>
      </c>
      <c r="T461" s="22">
        <v>3.6012999999999984</v>
      </c>
      <c r="U461" s="31">
        <f t="shared" si="27"/>
        <v>1.9361827956989237</v>
      </c>
      <c r="V461" s="25"/>
      <c r="W461" s="25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</row>
    <row r="462" spans="1:42" ht="12.75" customHeight="1" x14ac:dyDescent="0.2">
      <c r="A462" s="16"/>
      <c r="B462" s="21" t="s">
        <v>479</v>
      </c>
      <c r="C462" s="13">
        <v>44476.464279340275</v>
      </c>
      <c r="D462" s="22">
        <v>-274.64800000000002</v>
      </c>
      <c r="E462" s="22">
        <v>275.392</v>
      </c>
      <c r="F462" s="22">
        <v>66.724999999999994</v>
      </c>
      <c r="G462" s="22">
        <v>-107.746</v>
      </c>
      <c r="H462" s="22">
        <v>131.346</v>
      </c>
      <c r="I462" s="22">
        <v>36.963999999999999</v>
      </c>
      <c r="J462" s="22">
        <v>0.2</v>
      </c>
      <c r="K462" s="23">
        <f t="shared" si="25"/>
        <v>0.20668749999999994</v>
      </c>
      <c r="L462" s="22">
        <v>-274.303</v>
      </c>
      <c r="M462" s="22">
        <v>271.41199999999998</v>
      </c>
      <c r="N462" s="22">
        <v>73.459000000000003</v>
      </c>
      <c r="O462" s="22">
        <v>-157.39599999999999</v>
      </c>
      <c r="P462" s="22">
        <v>139.434</v>
      </c>
      <c r="Q462" s="22">
        <v>43.719000000000001</v>
      </c>
      <c r="R462" s="22">
        <v>0.2</v>
      </c>
      <c r="S462" s="23">
        <f t="shared" si="26"/>
        <v>0.19610416666666672</v>
      </c>
      <c r="T462" s="22" t="s">
        <v>26</v>
      </c>
      <c r="U462" s="31" t="e">
        <f t="shared" si="27"/>
        <v>#VALUE!</v>
      </c>
      <c r="V462" s="25"/>
      <c r="W462" s="25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</row>
    <row r="463" spans="1:42" ht="12.75" customHeight="1" x14ac:dyDescent="0.2">
      <c r="A463" s="16"/>
      <c r="B463" s="21" t="s">
        <v>480</v>
      </c>
      <c r="C463" s="13">
        <v>44476.485112615737</v>
      </c>
      <c r="D463" s="22">
        <v>-216.25899999999999</v>
      </c>
      <c r="E463" s="22">
        <v>229.56</v>
      </c>
      <c r="F463" s="22">
        <v>69.257000000000005</v>
      </c>
      <c r="G463" s="22">
        <v>-104.446</v>
      </c>
      <c r="H463" s="22">
        <v>119.111</v>
      </c>
      <c r="I463" s="22">
        <v>37.445999999999998</v>
      </c>
      <c r="J463" s="22">
        <v>0.22500000000000001</v>
      </c>
      <c r="K463" s="23">
        <f t="shared" si="25"/>
        <v>0.20668749999999994</v>
      </c>
      <c r="L463" s="22">
        <v>-262.38099999999997</v>
      </c>
      <c r="M463" s="22">
        <v>271.572</v>
      </c>
      <c r="N463" s="22">
        <v>75.099999999999994</v>
      </c>
      <c r="O463" s="22">
        <v>-156.708</v>
      </c>
      <c r="P463" s="22">
        <v>135.822</v>
      </c>
      <c r="Q463" s="22">
        <v>44.451999999999998</v>
      </c>
      <c r="R463" s="22">
        <v>0.188</v>
      </c>
      <c r="S463" s="23">
        <f t="shared" si="26"/>
        <v>0.19610416666666672</v>
      </c>
      <c r="T463" s="22">
        <v>3.4024999999999999</v>
      </c>
      <c r="U463" s="31">
        <f t="shared" si="27"/>
        <v>1.829301075268817</v>
      </c>
      <c r="V463" s="25"/>
      <c r="W463" s="25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</row>
    <row r="464" spans="1:42" ht="12.75" customHeight="1" x14ac:dyDescent="0.2">
      <c r="A464" s="16"/>
      <c r="B464" s="21" t="s">
        <v>481</v>
      </c>
      <c r="C464" s="13">
        <v>44476.5059458912</v>
      </c>
      <c r="D464" s="22">
        <v>-217.32499999999999</v>
      </c>
      <c r="E464" s="22">
        <v>236.93899999999999</v>
      </c>
      <c r="F464" s="22">
        <v>63.786000000000001</v>
      </c>
      <c r="G464" s="22">
        <v>-99.725999999999999</v>
      </c>
      <c r="H464" s="22">
        <v>125.547</v>
      </c>
      <c r="I464" s="22">
        <v>34.170999999999999</v>
      </c>
      <c r="J464" s="22">
        <v>0.21299999999999999</v>
      </c>
      <c r="K464" s="23">
        <f t="shared" si="25"/>
        <v>0.20668749999999994</v>
      </c>
      <c r="L464" s="22">
        <v>-300.56</v>
      </c>
      <c r="M464" s="22">
        <v>266.89800000000002</v>
      </c>
      <c r="N464" s="22">
        <v>72.025999999999996</v>
      </c>
      <c r="O464" s="22">
        <v>-129.251</v>
      </c>
      <c r="P464" s="22">
        <v>177.142</v>
      </c>
      <c r="Q464" s="22">
        <v>42.122999999999998</v>
      </c>
      <c r="R464" s="22">
        <v>0.21299999999999999</v>
      </c>
      <c r="S464" s="23">
        <f t="shared" si="26"/>
        <v>0.19610416666666672</v>
      </c>
      <c r="T464" s="22" t="s">
        <v>26</v>
      </c>
      <c r="U464" s="31" t="e">
        <f t="shared" si="27"/>
        <v>#VALUE!</v>
      </c>
      <c r="V464" s="25"/>
      <c r="W464" s="25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</row>
    <row r="465" spans="1:42" ht="12.75" customHeight="1" x14ac:dyDescent="0.2">
      <c r="A465" s="16"/>
      <c r="B465" s="21" t="s">
        <v>482</v>
      </c>
      <c r="C465" s="13">
        <v>44476.52677916667</v>
      </c>
      <c r="D465" s="22">
        <v>-249.08099999999999</v>
      </c>
      <c r="E465" s="22">
        <v>222.893</v>
      </c>
      <c r="F465" s="22">
        <v>69.349000000000004</v>
      </c>
      <c r="G465" s="22">
        <v>-125.64700000000001</v>
      </c>
      <c r="H465" s="22">
        <v>91.513999999999996</v>
      </c>
      <c r="I465" s="22">
        <v>37.334000000000003</v>
      </c>
      <c r="J465" s="22">
        <v>0.22500000000000001</v>
      </c>
      <c r="K465" s="23">
        <f t="shared" si="25"/>
        <v>0.20668749999999994</v>
      </c>
      <c r="L465" s="22">
        <v>-262.59199999999998</v>
      </c>
      <c r="M465" s="22">
        <v>261.22500000000002</v>
      </c>
      <c r="N465" s="22">
        <v>71.938999999999993</v>
      </c>
      <c r="O465" s="22">
        <v>-175.31899999999999</v>
      </c>
      <c r="P465" s="22">
        <v>113.95</v>
      </c>
      <c r="Q465" s="22">
        <v>43.954999999999998</v>
      </c>
      <c r="R465" s="22">
        <v>0.188</v>
      </c>
      <c r="S465" s="23">
        <f t="shared" si="26"/>
        <v>0.19610416666666672</v>
      </c>
      <c r="T465" s="22">
        <v>3.2256999999999998</v>
      </c>
      <c r="U465" s="31">
        <f t="shared" si="27"/>
        <v>1.7342473118279569</v>
      </c>
      <c r="V465" s="25"/>
      <c r="W465" s="25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</row>
    <row r="466" spans="1:42" ht="12.75" customHeight="1" x14ac:dyDescent="0.2">
      <c r="A466" s="16"/>
      <c r="B466" s="21" t="s">
        <v>483</v>
      </c>
      <c r="C466" s="13">
        <v>44476.547612442133</v>
      </c>
      <c r="D466" s="22">
        <v>-250.995</v>
      </c>
      <c r="E466" s="22">
        <v>228.21899999999999</v>
      </c>
      <c r="F466" s="22">
        <v>66.55</v>
      </c>
      <c r="G466" s="22">
        <v>-126.804</v>
      </c>
      <c r="H466" s="22">
        <v>91.006</v>
      </c>
      <c r="I466" s="22">
        <v>37.110999999999997</v>
      </c>
      <c r="J466" s="22">
        <v>0.21299999999999999</v>
      </c>
      <c r="K466" s="23">
        <f t="shared" si="25"/>
        <v>0.20668749999999994</v>
      </c>
      <c r="L466" s="22">
        <v>-248.999</v>
      </c>
      <c r="M466" s="22">
        <v>281.70400000000001</v>
      </c>
      <c r="N466" s="22">
        <v>71.566999999999993</v>
      </c>
      <c r="O466" s="22">
        <v>-117.116</v>
      </c>
      <c r="P466" s="22">
        <v>161.643</v>
      </c>
      <c r="Q466" s="22">
        <v>43.145000000000003</v>
      </c>
      <c r="R466" s="22">
        <v>0.188</v>
      </c>
      <c r="S466" s="23">
        <f t="shared" si="26"/>
        <v>0.19610416666666672</v>
      </c>
      <c r="T466" s="22" t="s">
        <v>26</v>
      </c>
      <c r="U466" s="31" t="e">
        <f t="shared" si="27"/>
        <v>#VALUE!</v>
      </c>
      <c r="V466" s="25"/>
      <c r="W466" s="25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</row>
    <row r="467" spans="1:42" ht="12.75" customHeight="1" x14ac:dyDescent="0.2">
      <c r="A467" s="16"/>
      <c r="B467" s="21" t="s">
        <v>484</v>
      </c>
      <c r="C467" s="13">
        <v>44476.568445717596</v>
      </c>
      <c r="D467" s="22">
        <v>-271.27999999999997</v>
      </c>
      <c r="E467" s="22">
        <v>219.779</v>
      </c>
      <c r="F467" s="22">
        <v>67.283000000000001</v>
      </c>
      <c r="G467" s="22">
        <v>-101.93</v>
      </c>
      <c r="H467" s="22">
        <v>117.2</v>
      </c>
      <c r="I467" s="22">
        <v>35.939</v>
      </c>
      <c r="J467" s="22">
        <v>0.22500000000000001</v>
      </c>
      <c r="K467" s="23">
        <f t="shared" si="25"/>
        <v>0.20668749999999994</v>
      </c>
      <c r="L467" s="22">
        <v>-248.179</v>
      </c>
      <c r="M467" s="22">
        <v>245.68899999999999</v>
      </c>
      <c r="N467" s="22">
        <v>69.855000000000004</v>
      </c>
      <c r="O467" s="22">
        <v>-129.73699999999999</v>
      </c>
      <c r="P467" s="22">
        <v>141.39500000000001</v>
      </c>
      <c r="Q467" s="22">
        <v>42.168999999999997</v>
      </c>
      <c r="R467" s="22">
        <v>0.188</v>
      </c>
      <c r="S467" s="23">
        <f t="shared" si="26"/>
        <v>0.19610416666666672</v>
      </c>
      <c r="T467" s="22">
        <v>3.4024999999999999</v>
      </c>
      <c r="U467" s="31">
        <f t="shared" si="27"/>
        <v>1.829301075268817</v>
      </c>
      <c r="V467" s="25"/>
      <c r="W467" s="25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</row>
    <row r="468" spans="1:42" ht="12.75" customHeight="1" x14ac:dyDescent="0.2">
      <c r="A468" s="16"/>
      <c r="B468" s="21" t="s">
        <v>485</v>
      </c>
      <c r="C468" s="13">
        <v>44476.589278993059</v>
      </c>
      <c r="D468" s="22">
        <v>-229.06700000000001</v>
      </c>
      <c r="E468" s="22">
        <v>220.90600000000001</v>
      </c>
      <c r="F468" s="22">
        <v>66.159000000000006</v>
      </c>
      <c r="G468" s="22">
        <v>-116.804</v>
      </c>
      <c r="H468" s="22">
        <v>100.15600000000001</v>
      </c>
      <c r="I468" s="22">
        <v>36.296999999999997</v>
      </c>
      <c r="J468" s="22">
        <v>0.22500000000000001</v>
      </c>
      <c r="K468" s="23">
        <f t="shared" si="25"/>
        <v>0.20668749999999994</v>
      </c>
      <c r="L468" s="22">
        <v>-226.489</v>
      </c>
      <c r="M468" s="22">
        <v>248.34399999999999</v>
      </c>
      <c r="N468" s="22">
        <v>70.921000000000006</v>
      </c>
      <c r="O468" s="22">
        <v>-131.935</v>
      </c>
      <c r="P468" s="22">
        <v>116.31100000000001</v>
      </c>
      <c r="Q468" s="22">
        <v>41.820999999999998</v>
      </c>
      <c r="R468" s="22">
        <v>0.188</v>
      </c>
      <c r="S468" s="23">
        <f t="shared" si="26"/>
        <v>0.19610416666666672</v>
      </c>
      <c r="T468" s="22" t="s">
        <v>26</v>
      </c>
      <c r="U468" s="31" t="e">
        <f t="shared" si="27"/>
        <v>#VALUE!</v>
      </c>
      <c r="V468" s="25"/>
      <c r="W468" s="25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</row>
    <row r="469" spans="1:42" ht="12.75" customHeight="1" x14ac:dyDescent="0.2">
      <c r="A469" s="16"/>
      <c r="B469" s="21" t="s">
        <v>486</v>
      </c>
      <c r="C469" s="13">
        <v>44476.610112268521</v>
      </c>
      <c r="D469" s="22">
        <v>-211.66499999999999</v>
      </c>
      <c r="E469" s="22">
        <v>245.07</v>
      </c>
      <c r="F469" s="22">
        <v>63.176000000000002</v>
      </c>
      <c r="G469" s="22">
        <v>-111.477</v>
      </c>
      <c r="H469" s="22">
        <v>102.12</v>
      </c>
      <c r="I469" s="22">
        <v>34.716000000000001</v>
      </c>
      <c r="J469" s="22">
        <v>0.22500000000000001</v>
      </c>
      <c r="K469" s="23">
        <f t="shared" si="25"/>
        <v>0.20668749999999994</v>
      </c>
      <c r="L469" s="22">
        <v>-212.928</v>
      </c>
      <c r="M469" s="22">
        <v>259.45999999999998</v>
      </c>
      <c r="N469" s="22">
        <v>68.474999999999994</v>
      </c>
      <c r="O469" s="22">
        <v>-126.91200000000001</v>
      </c>
      <c r="P469" s="22">
        <v>126.54600000000001</v>
      </c>
      <c r="Q469" s="22">
        <v>42.936999999999998</v>
      </c>
      <c r="R469" s="22">
        <v>0.188</v>
      </c>
      <c r="S469" s="23">
        <f t="shared" si="26"/>
        <v>0.19610416666666672</v>
      </c>
      <c r="T469" s="22">
        <v>3.4908000000000001</v>
      </c>
      <c r="U469" s="31">
        <f t="shared" si="27"/>
        <v>1.876774193548387</v>
      </c>
      <c r="V469" s="25"/>
      <c r="W469" s="25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</row>
    <row r="470" spans="1:42" ht="12.75" customHeight="1" x14ac:dyDescent="0.2">
      <c r="A470" s="16"/>
      <c r="B470" s="21" t="s">
        <v>487</v>
      </c>
      <c r="C470" s="13">
        <v>44476.630945543984</v>
      </c>
      <c r="D470" s="22">
        <v>-242.55500000000001</v>
      </c>
      <c r="E470" s="22">
        <v>248.52699999999999</v>
      </c>
      <c r="F470" s="22">
        <v>66.100999999999999</v>
      </c>
      <c r="G470" s="22">
        <v>-114.953</v>
      </c>
      <c r="H470" s="22">
        <v>99.242999999999995</v>
      </c>
      <c r="I470" s="22">
        <v>36.176000000000002</v>
      </c>
      <c r="J470" s="22">
        <v>0.2</v>
      </c>
      <c r="K470" s="23">
        <f t="shared" si="25"/>
        <v>0.20668749999999994</v>
      </c>
      <c r="L470" s="22">
        <v>-262.26600000000002</v>
      </c>
      <c r="M470" s="22">
        <v>242.893</v>
      </c>
      <c r="N470" s="22">
        <v>68.772000000000006</v>
      </c>
      <c r="O470" s="22">
        <v>-129.11699999999999</v>
      </c>
      <c r="P470" s="22">
        <v>151.80500000000001</v>
      </c>
      <c r="Q470" s="22">
        <v>41.646000000000001</v>
      </c>
      <c r="R470" s="22">
        <v>0.2</v>
      </c>
      <c r="S470" s="23">
        <f t="shared" si="26"/>
        <v>0.19610416666666672</v>
      </c>
      <c r="T470" s="22" t="s">
        <v>26</v>
      </c>
      <c r="U470" s="31" t="e">
        <f t="shared" si="27"/>
        <v>#VALUE!</v>
      </c>
      <c r="V470" s="25"/>
      <c r="W470" s="25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</row>
    <row r="471" spans="1:42" ht="12.75" customHeight="1" x14ac:dyDescent="0.2">
      <c r="A471" s="16"/>
      <c r="B471" s="21" t="s">
        <v>488</v>
      </c>
      <c r="C471" s="13">
        <v>44476.651778819447</v>
      </c>
      <c r="D471" s="22">
        <v>-211.172</v>
      </c>
      <c r="E471" s="22">
        <v>225.14099999999999</v>
      </c>
      <c r="F471" s="22">
        <v>64.915000000000006</v>
      </c>
      <c r="G471" s="22">
        <v>-122.229</v>
      </c>
      <c r="H471" s="22">
        <v>84.971999999999994</v>
      </c>
      <c r="I471" s="22">
        <v>36.158999999999999</v>
      </c>
      <c r="J471" s="22">
        <v>0.22500000000000001</v>
      </c>
      <c r="K471" s="23">
        <f t="shared" si="25"/>
        <v>0.20668749999999994</v>
      </c>
      <c r="L471" s="22">
        <v>-242.23500000000001</v>
      </c>
      <c r="M471" s="22">
        <v>280.36599999999999</v>
      </c>
      <c r="N471" s="22">
        <v>70.370999999999995</v>
      </c>
      <c r="O471" s="22">
        <v>-138.63999999999999</v>
      </c>
      <c r="P471" s="22">
        <v>143.685</v>
      </c>
      <c r="Q471" s="22">
        <v>43.384</v>
      </c>
      <c r="R471" s="22">
        <v>0.188</v>
      </c>
      <c r="S471" s="23">
        <f t="shared" si="26"/>
        <v>0.19610416666666672</v>
      </c>
      <c r="T471" s="22">
        <v>2.8940000000000001</v>
      </c>
      <c r="U471" s="31">
        <f t="shared" si="27"/>
        <v>1.5559139784946237</v>
      </c>
      <c r="V471" s="25"/>
      <c r="W471" s="25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</row>
    <row r="472" spans="1:42" ht="12.75" customHeight="1" x14ac:dyDescent="0.2">
      <c r="A472" s="16"/>
      <c r="B472" s="21" t="s">
        <v>489</v>
      </c>
      <c r="C472" s="13">
        <v>44476.67261209491</v>
      </c>
      <c r="D472" s="22">
        <v>-216.376</v>
      </c>
      <c r="E472" s="22">
        <v>261.08300000000003</v>
      </c>
      <c r="F472" s="22">
        <v>69.56</v>
      </c>
      <c r="G472" s="22">
        <v>-147.958</v>
      </c>
      <c r="H472" s="22">
        <v>107.604</v>
      </c>
      <c r="I472" s="22">
        <v>39.966999999999999</v>
      </c>
      <c r="J472" s="22">
        <v>0.2</v>
      </c>
      <c r="K472" s="23">
        <f t="shared" si="25"/>
        <v>0.20668749999999994</v>
      </c>
      <c r="L472" s="22">
        <v>-241.167</v>
      </c>
      <c r="M472" s="22">
        <v>232.983</v>
      </c>
      <c r="N472" s="22">
        <v>73.081000000000003</v>
      </c>
      <c r="O472" s="22">
        <v>-125.492</v>
      </c>
      <c r="P472" s="22">
        <v>141.55099999999999</v>
      </c>
      <c r="Q472" s="22">
        <v>45.59</v>
      </c>
      <c r="R472" s="22">
        <v>0.188</v>
      </c>
      <c r="S472" s="23">
        <f t="shared" si="26"/>
        <v>0.19610416666666672</v>
      </c>
      <c r="T472" s="22" t="s">
        <v>26</v>
      </c>
      <c r="U472" s="31" t="e">
        <f t="shared" si="27"/>
        <v>#VALUE!</v>
      </c>
      <c r="V472" s="25"/>
      <c r="W472" s="25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</row>
    <row r="473" spans="1:42" ht="12.75" customHeight="1" x14ac:dyDescent="0.2">
      <c r="A473" s="16"/>
      <c r="B473" s="21" t="s">
        <v>490</v>
      </c>
      <c r="C473" s="13">
        <v>44476.693445370373</v>
      </c>
      <c r="D473" s="22">
        <v>-248.69499999999999</v>
      </c>
      <c r="E473" s="22">
        <v>283.89999999999998</v>
      </c>
      <c r="F473" s="22">
        <v>68.296999999999997</v>
      </c>
      <c r="G473" s="22">
        <v>-137.80000000000001</v>
      </c>
      <c r="H473" s="22">
        <v>105.886</v>
      </c>
      <c r="I473" s="22">
        <v>40.223999999999997</v>
      </c>
      <c r="J473" s="22">
        <v>0.2</v>
      </c>
      <c r="K473" s="23">
        <f t="shared" si="25"/>
        <v>0.20668749999999994</v>
      </c>
      <c r="L473" s="22">
        <v>-247.59100000000001</v>
      </c>
      <c r="M473" s="22">
        <v>274.053</v>
      </c>
      <c r="N473" s="22">
        <v>75.951999999999998</v>
      </c>
      <c r="O473" s="22">
        <v>-143.405</v>
      </c>
      <c r="P473" s="22">
        <v>149.19</v>
      </c>
      <c r="Q473" s="22">
        <v>47.847999999999999</v>
      </c>
      <c r="R473" s="22">
        <v>0.2</v>
      </c>
      <c r="S473" s="23">
        <f t="shared" si="26"/>
        <v>0.19610416666666672</v>
      </c>
      <c r="T473" s="22">
        <v>2.8639999999999999</v>
      </c>
      <c r="U473" s="31">
        <f t="shared" si="27"/>
        <v>1.5397849462365589</v>
      </c>
      <c r="V473" s="25"/>
      <c r="W473" s="25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</row>
    <row r="474" spans="1:42" ht="12.75" customHeight="1" x14ac:dyDescent="0.2">
      <c r="A474" s="16"/>
      <c r="B474" s="21" t="s">
        <v>491</v>
      </c>
      <c r="C474" s="13">
        <v>44476.714278645835</v>
      </c>
      <c r="D474" s="22">
        <v>-210.43</v>
      </c>
      <c r="E474" s="22">
        <v>246.923</v>
      </c>
      <c r="F474" s="22">
        <v>66.787000000000006</v>
      </c>
      <c r="G474" s="22">
        <v>-132.04599999999999</v>
      </c>
      <c r="H474" s="22">
        <v>106.48</v>
      </c>
      <c r="I474" s="22">
        <v>39.737000000000002</v>
      </c>
      <c r="J474" s="22">
        <v>0.2</v>
      </c>
      <c r="K474" s="23">
        <f t="shared" si="25"/>
        <v>0.20668749999999994</v>
      </c>
      <c r="L474" s="22">
        <v>-283.71699999999998</v>
      </c>
      <c r="M474" s="22">
        <v>324.58199999999999</v>
      </c>
      <c r="N474" s="22">
        <v>74.352999999999994</v>
      </c>
      <c r="O474" s="22">
        <v>-159.61099999999999</v>
      </c>
      <c r="P474" s="22">
        <v>137.58199999999999</v>
      </c>
      <c r="Q474" s="22">
        <v>46.558999999999997</v>
      </c>
      <c r="R474" s="22">
        <v>0.2</v>
      </c>
      <c r="S474" s="23">
        <f t="shared" si="26"/>
        <v>0.19610416666666672</v>
      </c>
      <c r="T474" s="22" t="s">
        <v>26</v>
      </c>
      <c r="U474" s="31" t="e">
        <f t="shared" si="27"/>
        <v>#VALUE!</v>
      </c>
      <c r="V474" s="25"/>
      <c r="W474" s="25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</row>
    <row r="475" spans="1:42" ht="12.75" customHeight="1" x14ac:dyDescent="0.2">
      <c r="A475" s="16"/>
      <c r="B475" s="21" t="s">
        <v>492</v>
      </c>
      <c r="C475" s="13">
        <v>44476.735111921298</v>
      </c>
      <c r="D475" s="22">
        <v>-214.21799999999999</v>
      </c>
      <c r="E475" s="22">
        <v>263.72500000000002</v>
      </c>
      <c r="F475" s="22">
        <v>68.364999999999995</v>
      </c>
      <c r="G475" s="22">
        <v>-110.779</v>
      </c>
      <c r="H475" s="22">
        <v>128.76400000000001</v>
      </c>
      <c r="I475" s="22">
        <v>39.771999999999998</v>
      </c>
      <c r="J475" s="22">
        <v>0.2</v>
      </c>
      <c r="K475" s="23">
        <f t="shared" si="25"/>
        <v>0.20668749999999994</v>
      </c>
      <c r="L475" s="22">
        <v>-271.46699999999998</v>
      </c>
      <c r="M475" s="22">
        <v>292.73500000000001</v>
      </c>
      <c r="N475" s="22">
        <v>78.483000000000004</v>
      </c>
      <c r="O475" s="22">
        <v>-138.74199999999999</v>
      </c>
      <c r="P475" s="22">
        <v>171.23599999999999</v>
      </c>
      <c r="Q475" s="22">
        <v>48.619</v>
      </c>
      <c r="R475" s="22">
        <v>0.188</v>
      </c>
      <c r="S475" s="23">
        <f t="shared" si="26"/>
        <v>0.19610416666666672</v>
      </c>
      <c r="T475" s="22">
        <v>3.5870000000000002</v>
      </c>
      <c r="U475" s="31">
        <f t="shared" si="27"/>
        <v>1.928494623655914</v>
      </c>
      <c r="V475" s="25"/>
      <c r="W475" s="25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</row>
    <row r="476" spans="1:42" ht="12.75" customHeight="1" x14ac:dyDescent="0.2">
      <c r="A476" s="16"/>
      <c r="B476" s="21" t="s">
        <v>493</v>
      </c>
      <c r="C476" s="13">
        <v>44476.755945196761</v>
      </c>
      <c r="D476" s="22">
        <v>-222.67099999999999</v>
      </c>
      <c r="E476" s="22">
        <v>244.881</v>
      </c>
      <c r="F476" s="22">
        <v>67.063000000000002</v>
      </c>
      <c r="G476" s="22">
        <v>-127.586</v>
      </c>
      <c r="H476" s="22">
        <v>103.517</v>
      </c>
      <c r="I476" s="22">
        <v>38.67</v>
      </c>
      <c r="J476" s="22">
        <v>0.2</v>
      </c>
      <c r="K476" s="23">
        <f t="shared" si="25"/>
        <v>0.20668749999999994</v>
      </c>
      <c r="L476" s="22">
        <v>-242.36500000000001</v>
      </c>
      <c r="M476" s="22">
        <v>259.40800000000002</v>
      </c>
      <c r="N476" s="22">
        <v>77.558999999999997</v>
      </c>
      <c r="O476" s="22">
        <v>-125.893</v>
      </c>
      <c r="P476" s="22">
        <v>140.928</v>
      </c>
      <c r="Q476" s="22">
        <v>46.628999999999998</v>
      </c>
      <c r="R476" s="22">
        <v>0.2</v>
      </c>
      <c r="S476" s="23">
        <f t="shared" si="26"/>
        <v>0.19610416666666672</v>
      </c>
      <c r="T476" s="22" t="s">
        <v>26</v>
      </c>
      <c r="U476" s="31" t="e">
        <f t="shared" si="27"/>
        <v>#VALUE!</v>
      </c>
      <c r="V476" s="25"/>
      <c r="W476" s="25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</row>
    <row r="477" spans="1:42" ht="12.75" customHeight="1" x14ac:dyDescent="0.2">
      <c r="A477" s="16"/>
      <c r="B477" s="21" t="s">
        <v>494</v>
      </c>
      <c r="C477" s="13">
        <v>44476.776778472224</v>
      </c>
      <c r="D477" s="22">
        <v>-208.20099999999999</v>
      </c>
      <c r="E477" s="22">
        <v>229.36600000000001</v>
      </c>
      <c r="F477" s="22">
        <v>65.463999999999999</v>
      </c>
      <c r="G477" s="22">
        <v>-103.158</v>
      </c>
      <c r="H477" s="22">
        <v>111.878</v>
      </c>
      <c r="I477" s="22">
        <v>37.662999999999997</v>
      </c>
      <c r="J477" s="22">
        <v>0.2</v>
      </c>
      <c r="K477" s="23">
        <f t="shared" si="25"/>
        <v>0.20668749999999994</v>
      </c>
      <c r="L477" s="22">
        <v>-260.78399999999999</v>
      </c>
      <c r="M477" s="22">
        <v>275.72500000000002</v>
      </c>
      <c r="N477" s="22">
        <v>74.174999999999997</v>
      </c>
      <c r="O477" s="22">
        <v>-150.833</v>
      </c>
      <c r="P477" s="22">
        <v>142.107</v>
      </c>
      <c r="Q477" s="22">
        <v>45.194000000000003</v>
      </c>
      <c r="R477" s="22">
        <v>0.188</v>
      </c>
      <c r="S477" s="23">
        <f t="shared" si="26"/>
        <v>0.19610416666666672</v>
      </c>
      <c r="T477" s="22">
        <v>2.23</v>
      </c>
      <c r="U477" s="31">
        <f t="shared" si="27"/>
        <v>1.1989247311827955</v>
      </c>
      <c r="V477" s="25"/>
      <c r="W477" s="25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</row>
    <row r="478" spans="1:42" ht="12.75" customHeight="1" x14ac:dyDescent="0.2">
      <c r="A478" s="16"/>
      <c r="B478" s="21" t="s">
        <v>495</v>
      </c>
      <c r="C478" s="13">
        <v>44476.797611747686</v>
      </c>
      <c r="D478" s="22">
        <v>-216.405</v>
      </c>
      <c r="E478" s="22">
        <v>259.58699999999999</v>
      </c>
      <c r="F478" s="22">
        <v>67.555999999999997</v>
      </c>
      <c r="G478" s="22">
        <v>-141.04499999999999</v>
      </c>
      <c r="H478" s="22">
        <v>91.438000000000002</v>
      </c>
      <c r="I478" s="22">
        <v>38.401000000000003</v>
      </c>
      <c r="J478" s="22">
        <v>0.21299999999999999</v>
      </c>
      <c r="K478" s="23">
        <f t="shared" si="25"/>
        <v>0.20668749999999994</v>
      </c>
      <c r="L478" s="22">
        <v>-246.536</v>
      </c>
      <c r="M478" s="22">
        <v>306.87599999999998</v>
      </c>
      <c r="N478" s="22">
        <v>77.387</v>
      </c>
      <c r="O478" s="22">
        <v>-145.232</v>
      </c>
      <c r="P478" s="22">
        <v>119.73399999999999</v>
      </c>
      <c r="Q478" s="22">
        <v>46.859000000000002</v>
      </c>
      <c r="R478" s="22">
        <v>0.2</v>
      </c>
      <c r="S478" s="23">
        <f t="shared" si="26"/>
        <v>0.19610416666666672</v>
      </c>
      <c r="T478" s="22" t="s">
        <v>26</v>
      </c>
      <c r="U478" s="31" t="e">
        <f t="shared" si="27"/>
        <v>#VALUE!</v>
      </c>
      <c r="V478" s="25"/>
      <c r="W478" s="25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</row>
    <row r="479" spans="1:42" ht="12.75" customHeight="1" x14ac:dyDescent="0.2">
      <c r="A479" s="16"/>
      <c r="B479" s="21" t="s">
        <v>496</v>
      </c>
      <c r="C479" s="13">
        <v>44476.818445023149</v>
      </c>
      <c r="D479" s="22">
        <v>-203.93600000000001</v>
      </c>
      <c r="E479" s="22">
        <v>234.13900000000001</v>
      </c>
      <c r="F479" s="22">
        <v>61.747999999999998</v>
      </c>
      <c r="G479" s="22">
        <v>-114.465</v>
      </c>
      <c r="H479" s="22">
        <v>108.09399999999999</v>
      </c>
      <c r="I479" s="22">
        <v>35.216000000000001</v>
      </c>
      <c r="J479" s="22">
        <v>0.2</v>
      </c>
      <c r="K479" s="23">
        <f t="shared" si="25"/>
        <v>0.20668749999999994</v>
      </c>
      <c r="L479" s="22">
        <v>-223.34399999999999</v>
      </c>
      <c r="M479" s="22">
        <v>235.268</v>
      </c>
      <c r="N479" s="22">
        <v>70</v>
      </c>
      <c r="O479" s="22">
        <v>-151.59800000000001</v>
      </c>
      <c r="P479" s="22">
        <v>117.202</v>
      </c>
      <c r="Q479" s="22">
        <v>43.164000000000001</v>
      </c>
      <c r="R479" s="22">
        <v>0.2</v>
      </c>
      <c r="S479" s="23">
        <f t="shared" si="26"/>
        <v>0.19610416666666672</v>
      </c>
      <c r="T479" s="22">
        <v>2.5640000000000001</v>
      </c>
      <c r="U479" s="31">
        <f t="shared" si="27"/>
        <v>1.3784946236559139</v>
      </c>
      <c r="V479" s="25"/>
      <c r="W479" s="25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</row>
    <row r="480" spans="1:42" ht="12.75" customHeight="1" x14ac:dyDescent="0.2">
      <c r="A480" s="16"/>
      <c r="B480" s="21" t="s">
        <v>497</v>
      </c>
      <c r="C480" s="13">
        <v>44476.839278298612</v>
      </c>
      <c r="D480" s="22">
        <v>-223.27</v>
      </c>
      <c r="E480" s="22">
        <v>253.44200000000001</v>
      </c>
      <c r="F480" s="22">
        <v>59.536999999999999</v>
      </c>
      <c r="G480" s="22">
        <v>-92.132999999999996</v>
      </c>
      <c r="H480" s="22">
        <v>112.913</v>
      </c>
      <c r="I480" s="22">
        <v>35.014000000000003</v>
      </c>
      <c r="J480" s="22">
        <v>0.2</v>
      </c>
      <c r="K480" s="23">
        <f t="shared" si="25"/>
        <v>0.20668749999999994</v>
      </c>
      <c r="L480" s="22">
        <v>-260.72500000000002</v>
      </c>
      <c r="M480" s="22">
        <v>287.46899999999999</v>
      </c>
      <c r="N480" s="22">
        <v>67.897999999999996</v>
      </c>
      <c r="O480" s="22">
        <v>-157.73599999999999</v>
      </c>
      <c r="P480" s="22">
        <v>165.72300000000001</v>
      </c>
      <c r="Q480" s="22">
        <v>43.231999999999999</v>
      </c>
      <c r="R480" s="22">
        <v>0.188</v>
      </c>
      <c r="S480" s="23">
        <f t="shared" si="26"/>
        <v>0.19610416666666672</v>
      </c>
      <c r="T480" s="22" t="s">
        <v>26</v>
      </c>
      <c r="U480" s="31" t="e">
        <f t="shared" si="27"/>
        <v>#VALUE!</v>
      </c>
      <c r="V480" s="25"/>
      <c r="W480" s="25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</row>
    <row r="481" spans="1:42" ht="12.75" customHeight="1" x14ac:dyDescent="0.2">
      <c r="A481" s="16"/>
      <c r="B481" s="21" t="s">
        <v>498</v>
      </c>
      <c r="C481" s="13">
        <v>44476.860111574075</v>
      </c>
      <c r="D481" s="22">
        <v>-204.666</v>
      </c>
      <c r="E481" s="22">
        <v>226.017</v>
      </c>
      <c r="F481" s="22">
        <v>61.061</v>
      </c>
      <c r="G481" s="22">
        <v>-125.242</v>
      </c>
      <c r="H481" s="22">
        <v>95.793000000000006</v>
      </c>
      <c r="I481" s="22">
        <v>36.052</v>
      </c>
      <c r="J481" s="22">
        <v>0.2</v>
      </c>
      <c r="K481" s="23">
        <f t="shared" si="25"/>
        <v>0.20668749999999994</v>
      </c>
      <c r="L481" s="22">
        <v>-211.41800000000001</v>
      </c>
      <c r="M481" s="22">
        <v>222.91399999999999</v>
      </c>
      <c r="N481" s="22">
        <v>67.650000000000006</v>
      </c>
      <c r="O481" s="22">
        <v>-148.09800000000001</v>
      </c>
      <c r="P481" s="22">
        <v>111.047</v>
      </c>
      <c r="Q481" s="22">
        <v>44.005000000000003</v>
      </c>
      <c r="R481" s="22">
        <v>0.2</v>
      </c>
      <c r="S481" s="23">
        <f t="shared" si="26"/>
        <v>0.19610416666666672</v>
      </c>
      <c r="T481" s="22">
        <v>2.3359999999999999</v>
      </c>
      <c r="U481" s="31">
        <f t="shared" si="27"/>
        <v>1.2559139784946236</v>
      </c>
      <c r="V481" s="25"/>
      <c r="W481" s="25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</row>
    <row r="482" spans="1:42" ht="12.75" customHeight="1" x14ac:dyDescent="0.2">
      <c r="A482" s="16"/>
      <c r="B482" s="21" t="s">
        <v>499</v>
      </c>
      <c r="C482" s="13">
        <v>44476.880944849538</v>
      </c>
      <c r="D482" s="22">
        <v>-177.45099999999999</v>
      </c>
      <c r="E482" s="22">
        <v>210.91800000000001</v>
      </c>
      <c r="F482" s="22">
        <v>57.570999999999998</v>
      </c>
      <c r="G482" s="22">
        <v>-95.197999999999993</v>
      </c>
      <c r="H482" s="22">
        <v>104.30200000000001</v>
      </c>
      <c r="I482" s="22">
        <v>33.930999999999997</v>
      </c>
      <c r="J482" s="22">
        <v>0.21299999999999999</v>
      </c>
      <c r="K482" s="23">
        <f t="shared" si="25"/>
        <v>0.20668749999999994</v>
      </c>
      <c r="L482" s="22">
        <v>-243.44200000000001</v>
      </c>
      <c r="M482" s="22">
        <v>226.62299999999999</v>
      </c>
      <c r="N482" s="22">
        <v>62.685000000000002</v>
      </c>
      <c r="O482" s="22">
        <v>-137.458</v>
      </c>
      <c r="P482" s="22">
        <v>141.67599999999999</v>
      </c>
      <c r="Q482" s="22">
        <v>39.859000000000002</v>
      </c>
      <c r="R482" s="22">
        <v>0.188</v>
      </c>
      <c r="S482" s="23">
        <f t="shared" si="26"/>
        <v>0.19610416666666672</v>
      </c>
      <c r="T482" s="22" t="s">
        <v>26</v>
      </c>
      <c r="U482" s="31" t="e">
        <f t="shared" si="27"/>
        <v>#VALUE!</v>
      </c>
      <c r="V482" s="25"/>
      <c r="W482" s="25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</row>
    <row r="483" spans="1:42" ht="12.75" customHeight="1" x14ac:dyDescent="0.2">
      <c r="A483" s="16"/>
      <c r="B483" s="21" t="s">
        <v>500</v>
      </c>
      <c r="C483" s="13">
        <v>44476.901778125</v>
      </c>
      <c r="D483" s="22">
        <v>-227.87799999999999</v>
      </c>
      <c r="E483" s="22">
        <v>213.12799999999999</v>
      </c>
      <c r="F483" s="22">
        <v>56.152000000000001</v>
      </c>
      <c r="G483" s="22">
        <v>-94.798000000000002</v>
      </c>
      <c r="H483" s="22">
        <v>122.694</v>
      </c>
      <c r="I483" s="22">
        <v>33.08</v>
      </c>
      <c r="J483" s="22">
        <v>0.22500000000000001</v>
      </c>
      <c r="K483" s="23">
        <f t="shared" si="25"/>
        <v>0.20668749999999994</v>
      </c>
      <c r="L483" s="22">
        <v>-263.89600000000002</v>
      </c>
      <c r="M483" s="22">
        <v>304.79199999999997</v>
      </c>
      <c r="N483" s="22">
        <v>62.576999999999998</v>
      </c>
      <c r="O483" s="22">
        <v>-138.244</v>
      </c>
      <c r="P483" s="22">
        <v>157.946</v>
      </c>
      <c r="Q483" s="22">
        <v>39.171999999999997</v>
      </c>
      <c r="R483" s="22">
        <v>0.188</v>
      </c>
      <c r="S483" s="23">
        <f t="shared" si="26"/>
        <v>0.19610416666666672</v>
      </c>
      <c r="T483" s="22">
        <v>1.9570000000000001</v>
      </c>
      <c r="U483" s="31">
        <f t="shared" si="27"/>
        <v>1.0521505376344087</v>
      </c>
      <c r="V483" s="25"/>
      <c r="W483" s="25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</row>
    <row r="484" spans="1:42" ht="12.75" customHeight="1" x14ac:dyDescent="0.2">
      <c r="A484" s="16"/>
      <c r="B484" s="21" t="s">
        <v>501</v>
      </c>
      <c r="C484" s="13">
        <v>44476.922611400463</v>
      </c>
      <c r="D484" s="22">
        <v>-183.93799999999999</v>
      </c>
      <c r="E484" s="22">
        <v>172.756</v>
      </c>
      <c r="F484" s="22">
        <v>55.052</v>
      </c>
      <c r="G484" s="22">
        <v>-79.218000000000004</v>
      </c>
      <c r="H484" s="22">
        <v>101.467</v>
      </c>
      <c r="I484" s="22">
        <v>32.710999999999999</v>
      </c>
      <c r="J484" s="22">
        <v>0.188</v>
      </c>
      <c r="K484" s="23">
        <f t="shared" si="25"/>
        <v>0.20668749999999994</v>
      </c>
      <c r="L484" s="22">
        <v>-202.321</v>
      </c>
      <c r="M484" s="22">
        <v>218.09100000000001</v>
      </c>
      <c r="N484" s="22">
        <v>60.337000000000003</v>
      </c>
      <c r="O484" s="22">
        <v>-114.08499999999999</v>
      </c>
      <c r="P484" s="22">
        <v>123.367</v>
      </c>
      <c r="Q484" s="22">
        <v>38.552999999999997</v>
      </c>
      <c r="R484" s="22">
        <v>0.17499999999999999</v>
      </c>
      <c r="S484" s="23">
        <f t="shared" si="26"/>
        <v>0.19610416666666672</v>
      </c>
      <c r="T484" s="22" t="s">
        <v>26</v>
      </c>
      <c r="U484" s="31" t="e">
        <f t="shared" si="27"/>
        <v>#VALUE!</v>
      </c>
      <c r="V484" s="25"/>
      <c r="W484" s="25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</row>
    <row r="485" spans="1:42" ht="12.75" customHeight="1" x14ac:dyDescent="0.2">
      <c r="A485" s="16"/>
      <c r="B485" s="21" t="s">
        <v>502</v>
      </c>
      <c r="C485" s="13">
        <v>44476.943444675926</v>
      </c>
      <c r="D485" s="22">
        <v>-182.874</v>
      </c>
      <c r="E485" s="22">
        <v>192.99100000000001</v>
      </c>
      <c r="F485" s="22">
        <v>55.417999999999999</v>
      </c>
      <c r="G485" s="22">
        <v>-93.694999999999993</v>
      </c>
      <c r="H485" s="22">
        <v>97.820999999999998</v>
      </c>
      <c r="I485" s="22">
        <v>31.646999999999998</v>
      </c>
      <c r="J485" s="22">
        <v>0.2</v>
      </c>
      <c r="K485" s="23">
        <f t="shared" si="25"/>
        <v>0.20668749999999994</v>
      </c>
      <c r="L485" s="22">
        <v>-230.67400000000001</v>
      </c>
      <c r="M485" s="22">
        <v>241.27099999999999</v>
      </c>
      <c r="N485" s="22">
        <v>59.802</v>
      </c>
      <c r="O485" s="22">
        <v>-124.24</v>
      </c>
      <c r="P485" s="22">
        <v>147.78899999999999</v>
      </c>
      <c r="Q485" s="22">
        <v>37.048999999999999</v>
      </c>
      <c r="R485" s="22">
        <v>0.188</v>
      </c>
      <c r="S485" s="23">
        <f t="shared" si="26"/>
        <v>0.19610416666666672</v>
      </c>
      <c r="T485" s="22">
        <v>2.9605999999999995</v>
      </c>
      <c r="U485" s="31">
        <f t="shared" si="27"/>
        <v>1.5917204301075265</v>
      </c>
      <c r="V485" s="25"/>
      <c r="W485" s="25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</row>
    <row r="486" spans="1:42" ht="12.75" customHeight="1" x14ac:dyDescent="0.2">
      <c r="A486" s="16"/>
      <c r="B486" s="21" t="s">
        <v>503</v>
      </c>
      <c r="C486" s="13">
        <v>44476.964277951389</v>
      </c>
      <c r="D486" s="22">
        <v>-188.7</v>
      </c>
      <c r="E486" s="22">
        <v>181.49600000000001</v>
      </c>
      <c r="F486" s="22">
        <v>54.573999999999998</v>
      </c>
      <c r="G486" s="22">
        <v>-103.884</v>
      </c>
      <c r="H486" s="22">
        <v>94.256</v>
      </c>
      <c r="I486" s="22">
        <v>32.296999999999997</v>
      </c>
      <c r="J486" s="22">
        <v>0.2</v>
      </c>
      <c r="K486" s="23">
        <f t="shared" si="25"/>
        <v>0.20668749999999994</v>
      </c>
      <c r="L486" s="22">
        <v>-221.30799999999999</v>
      </c>
      <c r="M486" s="22">
        <v>233.28399999999999</v>
      </c>
      <c r="N486" s="22">
        <v>61.246000000000002</v>
      </c>
      <c r="O486" s="22">
        <v>-119.04</v>
      </c>
      <c r="P486" s="22">
        <v>132.22800000000001</v>
      </c>
      <c r="Q486" s="22">
        <v>38.039000000000001</v>
      </c>
      <c r="R486" s="22">
        <v>0.22500000000000001</v>
      </c>
      <c r="S486" s="23">
        <f t="shared" si="26"/>
        <v>0.19610416666666672</v>
      </c>
      <c r="T486" s="22" t="s">
        <v>26</v>
      </c>
      <c r="U486" s="31" t="e">
        <f t="shared" si="27"/>
        <v>#VALUE!</v>
      </c>
      <c r="V486" s="25"/>
      <c r="W486" s="25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</row>
    <row r="487" spans="1:42" ht="12.75" customHeight="1" x14ac:dyDescent="0.2">
      <c r="A487" s="16"/>
      <c r="B487" s="21" t="s">
        <v>504</v>
      </c>
      <c r="C487" s="13">
        <v>44476.985111226852</v>
      </c>
      <c r="D487" s="22">
        <v>-191.364</v>
      </c>
      <c r="E487" s="22">
        <v>156.66300000000001</v>
      </c>
      <c r="F487" s="22">
        <v>53.267000000000003</v>
      </c>
      <c r="G487" s="22">
        <v>-88.346000000000004</v>
      </c>
      <c r="H487" s="22">
        <v>83.816999999999993</v>
      </c>
      <c r="I487" s="22">
        <v>30.832000000000001</v>
      </c>
      <c r="J487" s="22">
        <v>0.188</v>
      </c>
      <c r="K487" s="23">
        <f t="shared" si="25"/>
        <v>0.20668749999999994</v>
      </c>
      <c r="L487" s="22">
        <v>-203.43</v>
      </c>
      <c r="M487" s="22">
        <v>205.45599999999999</v>
      </c>
      <c r="N487" s="22">
        <v>59.408999999999999</v>
      </c>
      <c r="O487" s="22">
        <v>-102.429</v>
      </c>
      <c r="P487" s="22">
        <v>120.373</v>
      </c>
      <c r="Q487" s="22">
        <v>36.213000000000001</v>
      </c>
      <c r="R487" s="22">
        <v>0.188</v>
      </c>
      <c r="S487" s="23">
        <f t="shared" si="26"/>
        <v>0.19610416666666672</v>
      </c>
      <c r="T487" s="22">
        <v>2.2890000000000001</v>
      </c>
      <c r="U487" s="31">
        <f t="shared" si="27"/>
        <v>1.2306451612903226</v>
      </c>
      <c r="V487" s="25"/>
      <c r="W487" s="25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</row>
    <row r="488" spans="1:42" ht="12.75" customHeight="1" x14ac:dyDescent="0.2">
      <c r="A488" s="11">
        <v>11</v>
      </c>
      <c r="B488" s="31" t="s">
        <v>505</v>
      </c>
      <c r="C488" s="13">
        <v>44477.005944502314</v>
      </c>
      <c r="D488" s="14">
        <v>-173.95099999999999</v>
      </c>
      <c r="E488" s="14">
        <v>181.107</v>
      </c>
      <c r="F488" s="14">
        <v>53.430999999999997</v>
      </c>
      <c r="G488" s="14">
        <v>-96.091999999999999</v>
      </c>
      <c r="H488" s="14">
        <v>88.825999999999993</v>
      </c>
      <c r="I488" s="14">
        <v>30.835999999999999</v>
      </c>
      <c r="J488" s="14">
        <v>0.2</v>
      </c>
      <c r="K488" s="15">
        <f>AVERAGE(J488:J535)</f>
        <v>0.21110416666666651</v>
      </c>
      <c r="L488" s="14">
        <v>-233.40199999999999</v>
      </c>
      <c r="M488" s="14">
        <v>222.18100000000001</v>
      </c>
      <c r="N488" s="14">
        <v>59.908999999999999</v>
      </c>
      <c r="O488" s="14">
        <v>-111.545</v>
      </c>
      <c r="P488" s="14">
        <v>140.91800000000001</v>
      </c>
      <c r="Q488" s="14">
        <v>34.991</v>
      </c>
      <c r="R488" s="14">
        <v>0.2</v>
      </c>
      <c r="S488" s="15">
        <f>AVERAGE(R488:R535)</f>
        <v>0.20333333333333328</v>
      </c>
      <c r="T488" s="14" t="s">
        <v>26</v>
      </c>
      <c r="U488" s="31" t="e">
        <f t="shared" si="27"/>
        <v>#VALUE!</v>
      </c>
      <c r="V488" s="2"/>
      <c r="W488" s="2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2.75" customHeight="1" x14ac:dyDescent="0.2">
      <c r="A489" s="11"/>
      <c r="B489" s="31" t="s">
        <v>506</v>
      </c>
      <c r="C489" s="13">
        <v>44477.026777777777</v>
      </c>
      <c r="D489" s="14">
        <v>-236.34100000000001</v>
      </c>
      <c r="E489" s="14">
        <v>196.45599999999999</v>
      </c>
      <c r="F489" s="14">
        <v>52.2</v>
      </c>
      <c r="G489" s="14">
        <v>-92.584000000000003</v>
      </c>
      <c r="H489" s="14">
        <v>109.89700000000001</v>
      </c>
      <c r="I489" s="14">
        <v>30.077999999999999</v>
      </c>
      <c r="J489" s="14">
        <v>0.188</v>
      </c>
      <c r="K489" s="15">
        <f>K488</f>
        <v>0.21110416666666651</v>
      </c>
      <c r="L489" s="14">
        <v>-212.57</v>
      </c>
      <c r="M489" s="14">
        <v>207.74299999999999</v>
      </c>
      <c r="N489" s="14">
        <v>57.917999999999999</v>
      </c>
      <c r="O489" s="14">
        <v>-102.551</v>
      </c>
      <c r="P489" s="14">
        <v>123.348</v>
      </c>
      <c r="Q489" s="14">
        <v>35.341000000000001</v>
      </c>
      <c r="R489" s="14">
        <v>0.188</v>
      </c>
      <c r="S489" s="15">
        <f>S488</f>
        <v>0.20333333333333328</v>
      </c>
      <c r="T489" s="14">
        <v>1.8220000000000001</v>
      </c>
      <c r="U489" s="31">
        <f t="shared" si="27"/>
        <v>0.97956989247311821</v>
      </c>
      <c r="V489" s="2"/>
      <c r="W489" s="2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2.75" customHeight="1" x14ac:dyDescent="0.2">
      <c r="A490" s="11"/>
      <c r="B490" s="31" t="s">
        <v>507</v>
      </c>
      <c r="C490" s="13">
        <v>44477.04761105324</v>
      </c>
      <c r="D490" s="14">
        <v>-178.95099999999999</v>
      </c>
      <c r="E490" s="14">
        <v>190.76400000000001</v>
      </c>
      <c r="F490" s="14">
        <v>48.801000000000002</v>
      </c>
      <c r="G490" s="14">
        <v>-87.391000000000005</v>
      </c>
      <c r="H490" s="14">
        <v>103.94199999999999</v>
      </c>
      <c r="I490" s="14">
        <v>28.273</v>
      </c>
      <c r="J490" s="14">
        <v>0.21299999999999999</v>
      </c>
      <c r="K490" s="15">
        <f>K489</f>
        <v>0.21110416666666651</v>
      </c>
      <c r="L490" s="14">
        <v>-191.44800000000001</v>
      </c>
      <c r="M490" s="14">
        <v>208.40199999999999</v>
      </c>
      <c r="N490" s="14">
        <v>54.726999999999997</v>
      </c>
      <c r="O490" s="14">
        <v>-117.36799999999999</v>
      </c>
      <c r="P490" s="14">
        <v>111.547</v>
      </c>
      <c r="Q490" s="14">
        <v>34.109000000000002</v>
      </c>
      <c r="R490" s="14">
        <v>0.188</v>
      </c>
      <c r="S490" s="15">
        <f>S489</f>
        <v>0.20333333333333328</v>
      </c>
      <c r="T490" s="14" t="s">
        <v>26</v>
      </c>
      <c r="U490" s="31" t="e">
        <f t="shared" si="27"/>
        <v>#VALUE!</v>
      </c>
      <c r="V490" s="2"/>
      <c r="W490" s="2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2.75" customHeight="1" x14ac:dyDescent="0.2">
      <c r="A491" s="11"/>
      <c r="B491" s="31" t="s">
        <v>508</v>
      </c>
      <c r="C491" s="13">
        <v>44477.068444328703</v>
      </c>
      <c r="D491" s="14">
        <v>-172.30699999999999</v>
      </c>
      <c r="E491" s="14">
        <v>168.989</v>
      </c>
      <c r="F491" s="14">
        <v>54.362000000000002</v>
      </c>
      <c r="G491" s="14">
        <v>-69.480999999999995</v>
      </c>
      <c r="H491" s="14">
        <v>91.569000000000003</v>
      </c>
      <c r="I491" s="14">
        <v>30.538</v>
      </c>
      <c r="J491" s="14">
        <v>0.21299999999999999</v>
      </c>
      <c r="K491" s="15">
        <f t="shared" ref="K491:K535" si="28">K490</f>
        <v>0.21110416666666651</v>
      </c>
      <c r="L491" s="14">
        <v>-209.404</v>
      </c>
      <c r="M491" s="14">
        <v>204.339</v>
      </c>
      <c r="N491" s="14">
        <v>60.848999999999997</v>
      </c>
      <c r="O491" s="14">
        <v>-120.43</v>
      </c>
      <c r="P491" s="14">
        <v>110.404</v>
      </c>
      <c r="Q491" s="14">
        <v>35.976999999999997</v>
      </c>
      <c r="R491" s="14">
        <v>0.188</v>
      </c>
      <c r="S491" s="15">
        <f t="shared" ref="S491:S535" si="29">S490</f>
        <v>0.20333333333333328</v>
      </c>
      <c r="T491" s="14">
        <v>2.3290000000000002</v>
      </c>
      <c r="U491" s="31">
        <f t="shared" si="27"/>
        <v>1.2521505376344086</v>
      </c>
      <c r="V491" s="2"/>
      <c r="W491" s="2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2.75" customHeight="1" x14ac:dyDescent="0.2">
      <c r="A492" s="11"/>
      <c r="B492" s="31" t="s">
        <v>509</v>
      </c>
      <c r="C492" s="13">
        <v>44477.089277604166</v>
      </c>
      <c r="D492" s="14">
        <v>-186.18</v>
      </c>
      <c r="E492" s="14">
        <v>197.84899999999999</v>
      </c>
      <c r="F492" s="14">
        <v>52.686</v>
      </c>
      <c r="G492" s="14">
        <v>-108.432</v>
      </c>
      <c r="H492" s="14">
        <v>93.912999999999997</v>
      </c>
      <c r="I492" s="14">
        <v>28.972000000000001</v>
      </c>
      <c r="J492" s="14">
        <v>0.2</v>
      </c>
      <c r="K492" s="15">
        <f t="shared" si="28"/>
        <v>0.21110416666666651</v>
      </c>
      <c r="L492" s="14">
        <v>-196.24799999999999</v>
      </c>
      <c r="M492" s="14">
        <v>199.27099999999999</v>
      </c>
      <c r="N492" s="14">
        <v>57.396000000000001</v>
      </c>
      <c r="O492" s="14">
        <v>-127.911</v>
      </c>
      <c r="P492" s="14">
        <v>85.659000000000006</v>
      </c>
      <c r="Q492" s="14">
        <v>34.482999999999997</v>
      </c>
      <c r="R492" s="14">
        <v>0.2</v>
      </c>
      <c r="S492" s="15">
        <f t="shared" si="29"/>
        <v>0.20333333333333328</v>
      </c>
      <c r="T492" s="14" t="s">
        <v>26</v>
      </c>
      <c r="U492" s="31" t="e">
        <f t="shared" si="27"/>
        <v>#VALUE!</v>
      </c>
      <c r="V492" s="2"/>
      <c r="W492" s="2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2.75" customHeight="1" x14ac:dyDescent="0.2">
      <c r="A493" s="11"/>
      <c r="B493" s="31" t="s">
        <v>510</v>
      </c>
      <c r="C493" s="13">
        <v>44477.110110879628</v>
      </c>
      <c r="D493" s="14">
        <v>-200.739</v>
      </c>
      <c r="E493" s="14">
        <v>171.69300000000001</v>
      </c>
      <c r="F493" s="14">
        <v>51.56</v>
      </c>
      <c r="G493" s="14">
        <v>-84.331000000000003</v>
      </c>
      <c r="H493" s="14">
        <v>80.251999999999995</v>
      </c>
      <c r="I493" s="14">
        <v>27.398</v>
      </c>
      <c r="J493" s="14">
        <v>0.21299999999999999</v>
      </c>
      <c r="K493" s="15">
        <f t="shared" si="28"/>
        <v>0.21110416666666651</v>
      </c>
      <c r="L493" s="14">
        <v>-185.73699999999999</v>
      </c>
      <c r="M493" s="14">
        <v>195.13200000000001</v>
      </c>
      <c r="N493" s="14">
        <v>56.320999999999998</v>
      </c>
      <c r="O493" s="14">
        <v>-112.283</v>
      </c>
      <c r="P493" s="14">
        <v>100.196</v>
      </c>
      <c r="Q493" s="14">
        <v>33.106000000000002</v>
      </c>
      <c r="R493" s="14">
        <v>0.2</v>
      </c>
      <c r="S493" s="15">
        <f t="shared" si="29"/>
        <v>0.20333333333333328</v>
      </c>
      <c r="T493" s="14">
        <v>1.7070000000000001</v>
      </c>
      <c r="U493" s="31">
        <f t="shared" si="27"/>
        <v>0.91774193548387095</v>
      </c>
      <c r="V493" s="2"/>
      <c r="W493" s="2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2.75" customHeight="1" x14ac:dyDescent="0.2">
      <c r="A494" s="11"/>
      <c r="B494" s="31" t="s">
        <v>511</v>
      </c>
      <c r="C494" s="13">
        <v>44477.130944155091</v>
      </c>
      <c r="D494" s="14">
        <v>-190.65799999999999</v>
      </c>
      <c r="E494" s="14">
        <v>188.001</v>
      </c>
      <c r="F494" s="14">
        <v>52.920999999999999</v>
      </c>
      <c r="G494" s="14">
        <v>-88.293999999999997</v>
      </c>
      <c r="H494" s="14">
        <v>84.361000000000004</v>
      </c>
      <c r="I494" s="14">
        <v>28.521000000000001</v>
      </c>
      <c r="J494" s="14">
        <v>0.2</v>
      </c>
      <c r="K494" s="15">
        <f t="shared" si="28"/>
        <v>0.21110416666666651</v>
      </c>
      <c r="L494" s="14">
        <v>-185.36099999999999</v>
      </c>
      <c r="M494" s="14">
        <v>202.345</v>
      </c>
      <c r="N494" s="14">
        <v>54.651000000000003</v>
      </c>
      <c r="O494" s="14">
        <v>-111.074</v>
      </c>
      <c r="P494" s="14">
        <v>102.86499999999999</v>
      </c>
      <c r="Q494" s="14">
        <v>32.685000000000002</v>
      </c>
      <c r="R494" s="14">
        <v>0.2</v>
      </c>
      <c r="S494" s="15">
        <f t="shared" si="29"/>
        <v>0.20333333333333328</v>
      </c>
      <c r="T494" s="14" t="s">
        <v>26</v>
      </c>
      <c r="U494" s="31" t="e">
        <f t="shared" si="27"/>
        <v>#VALUE!</v>
      </c>
      <c r="V494" s="2"/>
      <c r="W494" s="2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2.75" customHeight="1" x14ac:dyDescent="0.2">
      <c r="A495" s="11"/>
      <c r="B495" s="31" t="s">
        <v>512</v>
      </c>
      <c r="C495" s="13">
        <v>44477.151777430554</v>
      </c>
      <c r="D495" s="14">
        <v>-221.65199999999999</v>
      </c>
      <c r="E495" s="14">
        <v>174.39699999999999</v>
      </c>
      <c r="F495" s="14">
        <v>54.021000000000001</v>
      </c>
      <c r="G495" s="14">
        <v>-86.194999999999993</v>
      </c>
      <c r="H495" s="14">
        <v>97.611999999999995</v>
      </c>
      <c r="I495" s="14">
        <v>28.247</v>
      </c>
      <c r="J495" s="14">
        <v>0.21299999999999999</v>
      </c>
      <c r="K495" s="15">
        <f t="shared" si="28"/>
        <v>0.21110416666666651</v>
      </c>
      <c r="L495" s="14">
        <v>-174.33799999999999</v>
      </c>
      <c r="M495" s="14">
        <v>197.51599999999999</v>
      </c>
      <c r="N495" s="14">
        <v>55.503999999999998</v>
      </c>
      <c r="O495" s="14">
        <v>-100.777</v>
      </c>
      <c r="P495" s="14">
        <v>92.587999999999994</v>
      </c>
      <c r="Q495" s="14">
        <v>32.637999999999998</v>
      </c>
      <c r="R495" s="14">
        <v>0.2</v>
      </c>
      <c r="S495" s="15">
        <f t="shared" si="29"/>
        <v>0.20333333333333328</v>
      </c>
      <c r="T495" s="14">
        <v>2.1259999999999999</v>
      </c>
      <c r="U495" s="31">
        <f t="shared" si="27"/>
        <v>1.1430107526881719</v>
      </c>
      <c r="V495" s="2"/>
      <c r="W495" s="2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2.75" customHeight="1" x14ac:dyDescent="0.2">
      <c r="A496" s="11"/>
      <c r="B496" s="31" t="s">
        <v>513</v>
      </c>
      <c r="C496" s="13">
        <v>44477.172610706017</v>
      </c>
      <c r="D496" s="14">
        <v>-186.49799999999999</v>
      </c>
      <c r="E496" s="14">
        <v>179.76</v>
      </c>
      <c r="F496" s="14">
        <v>53.662999999999997</v>
      </c>
      <c r="G496" s="14">
        <v>-93.912000000000006</v>
      </c>
      <c r="H496" s="14">
        <v>83.22</v>
      </c>
      <c r="I496" s="14">
        <v>27.398</v>
      </c>
      <c r="J496" s="14">
        <v>0.22500000000000001</v>
      </c>
      <c r="K496" s="15">
        <f t="shared" si="28"/>
        <v>0.21110416666666651</v>
      </c>
      <c r="L496" s="14">
        <v>-192.25800000000001</v>
      </c>
      <c r="M496" s="14">
        <v>199.63499999999999</v>
      </c>
      <c r="N496" s="14">
        <v>53.941000000000003</v>
      </c>
      <c r="O496" s="14">
        <v>-107.143</v>
      </c>
      <c r="P496" s="14">
        <v>110.267</v>
      </c>
      <c r="Q496" s="14">
        <v>31.672000000000001</v>
      </c>
      <c r="R496" s="14">
        <v>0.188</v>
      </c>
      <c r="S496" s="15">
        <f t="shared" si="29"/>
        <v>0.20333333333333328</v>
      </c>
      <c r="T496" s="14" t="s">
        <v>26</v>
      </c>
      <c r="U496" s="31" t="e">
        <f t="shared" si="27"/>
        <v>#VALUE!</v>
      </c>
      <c r="V496" s="2"/>
      <c r="W496" s="2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2.75" customHeight="1" x14ac:dyDescent="0.2">
      <c r="A497" s="11"/>
      <c r="B497" s="31" t="s">
        <v>514</v>
      </c>
      <c r="C497" s="13">
        <v>44477.19344398148</v>
      </c>
      <c r="D497" s="14">
        <v>-196.33500000000001</v>
      </c>
      <c r="E497" s="14">
        <v>189.76499999999999</v>
      </c>
      <c r="F497" s="14">
        <v>55.689</v>
      </c>
      <c r="G497" s="14">
        <v>-90.557000000000002</v>
      </c>
      <c r="H497" s="14">
        <v>82.611000000000004</v>
      </c>
      <c r="I497" s="14">
        <v>29.134</v>
      </c>
      <c r="J497" s="14">
        <v>0.21299999999999999</v>
      </c>
      <c r="K497" s="15">
        <f t="shared" si="28"/>
        <v>0.21110416666666651</v>
      </c>
      <c r="L497" s="14">
        <v>-183.86099999999999</v>
      </c>
      <c r="M497" s="14">
        <v>197.518</v>
      </c>
      <c r="N497" s="14">
        <v>56.008000000000003</v>
      </c>
      <c r="O497" s="14">
        <v>-100.58199999999999</v>
      </c>
      <c r="P497" s="14">
        <v>102.27200000000001</v>
      </c>
      <c r="Q497" s="14">
        <v>33.500999999999998</v>
      </c>
      <c r="R497" s="14">
        <v>0.21299999999999999</v>
      </c>
      <c r="S497" s="15">
        <f t="shared" si="29"/>
        <v>0.20333333333333328</v>
      </c>
      <c r="T497" s="14">
        <v>3.0129999999999999</v>
      </c>
      <c r="U497" s="31">
        <f t="shared" si="27"/>
        <v>1.6198924731182793</v>
      </c>
      <c r="V497" s="2"/>
      <c r="W497" s="2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2.75" customHeight="1" x14ac:dyDescent="0.2">
      <c r="A498" s="11"/>
      <c r="B498" s="31" t="s">
        <v>515</v>
      </c>
      <c r="C498" s="13">
        <v>44477.214277256942</v>
      </c>
      <c r="D498" s="14">
        <v>-213.06399999999999</v>
      </c>
      <c r="E498" s="14">
        <v>217.49600000000001</v>
      </c>
      <c r="F498" s="14">
        <v>56.926000000000002</v>
      </c>
      <c r="G498" s="14">
        <v>-77.644000000000005</v>
      </c>
      <c r="H498" s="14">
        <v>106.27500000000001</v>
      </c>
      <c r="I498" s="14">
        <v>29.75</v>
      </c>
      <c r="J498" s="14">
        <v>0.22500000000000001</v>
      </c>
      <c r="K498" s="15">
        <f t="shared" si="28"/>
        <v>0.21110416666666651</v>
      </c>
      <c r="L498" s="14">
        <v>-188.851</v>
      </c>
      <c r="M498" s="14">
        <v>227.83699999999999</v>
      </c>
      <c r="N498" s="14">
        <v>61.639000000000003</v>
      </c>
      <c r="O498" s="14">
        <v>-115.596</v>
      </c>
      <c r="P498" s="14">
        <v>110.354</v>
      </c>
      <c r="Q498" s="14">
        <v>36.195</v>
      </c>
      <c r="R498" s="14">
        <v>0.22500000000000001</v>
      </c>
      <c r="S498" s="15">
        <f t="shared" si="29"/>
        <v>0.20333333333333328</v>
      </c>
      <c r="T498" s="14" t="s">
        <v>26</v>
      </c>
      <c r="U498" s="31" t="e">
        <f t="shared" si="27"/>
        <v>#VALUE!</v>
      </c>
      <c r="V498" s="2"/>
      <c r="W498" s="2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2.75" customHeight="1" x14ac:dyDescent="0.2">
      <c r="A499" s="11"/>
      <c r="B499" s="31" t="s">
        <v>516</v>
      </c>
      <c r="C499" s="13">
        <v>44477.235110532405</v>
      </c>
      <c r="D499" s="14">
        <v>-231.27199999999999</v>
      </c>
      <c r="E499" s="14">
        <v>189.625</v>
      </c>
      <c r="F499" s="14">
        <v>60.002000000000002</v>
      </c>
      <c r="G499" s="14">
        <v>-104.996</v>
      </c>
      <c r="H499" s="14">
        <v>76.992000000000004</v>
      </c>
      <c r="I499" s="14">
        <v>30.646000000000001</v>
      </c>
      <c r="J499" s="14">
        <v>0.2</v>
      </c>
      <c r="K499" s="15">
        <f t="shared" si="28"/>
        <v>0.21110416666666651</v>
      </c>
      <c r="L499" s="14">
        <v>-240.80199999999999</v>
      </c>
      <c r="M499" s="14">
        <v>229.77199999999999</v>
      </c>
      <c r="N499" s="14">
        <v>62.548000000000002</v>
      </c>
      <c r="O499" s="14">
        <v>-132.77199999999999</v>
      </c>
      <c r="P499" s="14">
        <v>104.045</v>
      </c>
      <c r="Q499" s="14">
        <v>36.191000000000003</v>
      </c>
      <c r="R499" s="14">
        <v>0.2</v>
      </c>
      <c r="S499" s="15">
        <f t="shared" si="29"/>
        <v>0.20333333333333328</v>
      </c>
      <c r="T499" s="14">
        <v>2.919</v>
      </c>
      <c r="U499" s="31">
        <f t="shared" si="27"/>
        <v>1.5693548387096774</v>
      </c>
      <c r="V499" s="2"/>
      <c r="W499" s="2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2.75" customHeight="1" x14ac:dyDescent="0.2">
      <c r="A500" s="11"/>
      <c r="B500" s="31" t="s">
        <v>517</v>
      </c>
      <c r="C500" s="13">
        <v>44477.255943807868</v>
      </c>
      <c r="D500" s="14">
        <v>-192.56800000000001</v>
      </c>
      <c r="E500" s="14">
        <v>213.73400000000001</v>
      </c>
      <c r="F500" s="14">
        <v>61.832999999999998</v>
      </c>
      <c r="G500" s="14">
        <v>-102.127</v>
      </c>
      <c r="H500" s="14">
        <v>90.453000000000003</v>
      </c>
      <c r="I500" s="14">
        <v>32.555</v>
      </c>
      <c r="J500" s="14">
        <v>0.22500000000000001</v>
      </c>
      <c r="K500" s="15">
        <f t="shared" si="28"/>
        <v>0.21110416666666651</v>
      </c>
      <c r="L500" s="14">
        <v>-234.44200000000001</v>
      </c>
      <c r="M500" s="14">
        <v>206.75200000000001</v>
      </c>
      <c r="N500" s="14">
        <v>64.210999999999999</v>
      </c>
      <c r="O500" s="14">
        <v>-102.896</v>
      </c>
      <c r="P500" s="14">
        <v>124.432</v>
      </c>
      <c r="Q500" s="14">
        <v>37.47</v>
      </c>
      <c r="R500" s="14">
        <v>0.21299999999999999</v>
      </c>
      <c r="S500" s="15">
        <f t="shared" si="29"/>
        <v>0.20333333333333328</v>
      </c>
      <c r="T500" s="14" t="s">
        <v>26</v>
      </c>
      <c r="U500" s="31" t="e">
        <f t="shared" si="27"/>
        <v>#VALUE!</v>
      </c>
      <c r="V500" s="2"/>
      <c r="W500" s="2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2.75" customHeight="1" x14ac:dyDescent="0.2">
      <c r="A501" s="11"/>
      <c r="B501" s="31" t="s">
        <v>518</v>
      </c>
      <c r="C501" s="13">
        <v>44477.276777083331</v>
      </c>
      <c r="D501" s="14">
        <v>-202.267</v>
      </c>
      <c r="E501" s="14">
        <v>227.90799999999999</v>
      </c>
      <c r="F501" s="14">
        <v>62.51</v>
      </c>
      <c r="G501" s="14">
        <v>-117.383</v>
      </c>
      <c r="H501" s="14">
        <v>87.16</v>
      </c>
      <c r="I501" s="14">
        <v>33.945</v>
      </c>
      <c r="J501" s="14">
        <v>0.2</v>
      </c>
      <c r="K501" s="15">
        <f t="shared" si="28"/>
        <v>0.21110416666666651</v>
      </c>
      <c r="L501" s="14">
        <v>-241.166</v>
      </c>
      <c r="M501" s="14">
        <v>249.65299999999999</v>
      </c>
      <c r="N501" s="14">
        <v>68.521000000000001</v>
      </c>
      <c r="O501" s="14">
        <v>-144.25700000000001</v>
      </c>
      <c r="P501" s="14">
        <v>136.51900000000001</v>
      </c>
      <c r="Q501" s="14">
        <v>40.43</v>
      </c>
      <c r="R501" s="14">
        <v>0.188</v>
      </c>
      <c r="S501" s="15">
        <f t="shared" si="29"/>
        <v>0.20333333333333328</v>
      </c>
      <c r="T501" s="14">
        <v>2.4420000000000002</v>
      </c>
      <c r="U501" s="31">
        <f t="shared" si="27"/>
        <v>1.3129032258064517</v>
      </c>
      <c r="V501" s="2"/>
      <c r="W501" s="2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2.75" customHeight="1" x14ac:dyDescent="0.2">
      <c r="A502" s="11"/>
      <c r="B502" s="31" t="s">
        <v>519</v>
      </c>
      <c r="C502" s="13">
        <v>44477.297610358793</v>
      </c>
      <c r="D502" s="14">
        <v>-237.947</v>
      </c>
      <c r="E502" s="14">
        <v>263.69200000000001</v>
      </c>
      <c r="F502" s="14">
        <v>67.367999999999995</v>
      </c>
      <c r="G502" s="14">
        <v>-124.21599999999999</v>
      </c>
      <c r="H502" s="14">
        <v>97.900999999999996</v>
      </c>
      <c r="I502" s="14">
        <v>36.411000000000001</v>
      </c>
      <c r="J502" s="14">
        <v>0.22500000000000001</v>
      </c>
      <c r="K502" s="15">
        <f t="shared" si="28"/>
        <v>0.21110416666666651</v>
      </c>
      <c r="L502" s="14">
        <v>-258.173</v>
      </c>
      <c r="M502" s="14">
        <v>273.58600000000001</v>
      </c>
      <c r="N502" s="14">
        <v>68.701999999999998</v>
      </c>
      <c r="O502" s="14">
        <v>-121.517</v>
      </c>
      <c r="P502" s="14">
        <v>145.315</v>
      </c>
      <c r="Q502" s="14">
        <v>41.506</v>
      </c>
      <c r="R502" s="14">
        <v>0.188</v>
      </c>
      <c r="S502" s="15">
        <f t="shared" si="29"/>
        <v>0.20333333333333328</v>
      </c>
      <c r="T502" s="14" t="s">
        <v>26</v>
      </c>
      <c r="U502" s="31" t="e">
        <f t="shared" si="27"/>
        <v>#VALUE!</v>
      </c>
      <c r="V502" s="2"/>
      <c r="W502" s="2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2.75" customHeight="1" x14ac:dyDescent="0.2">
      <c r="A503" s="11"/>
      <c r="B503" s="31" t="s">
        <v>520</v>
      </c>
      <c r="C503" s="13">
        <v>44477.318443634256</v>
      </c>
      <c r="D503" s="14">
        <v>-209.85400000000001</v>
      </c>
      <c r="E503" s="14">
        <v>221.93899999999999</v>
      </c>
      <c r="F503" s="14">
        <v>67.036000000000001</v>
      </c>
      <c r="G503" s="14">
        <v>-140.21</v>
      </c>
      <c r="H503" s="14">
        <v>95.968999999999994</v>
      </c>
      <c r="I503" s="14">
        <v>37.411000000000001</v>
      </c>
      <c r="J503" s="14">
        <v>0.2</v>
      </c>
      <c r="K503" s="15">
        <f t="shared" si="28"/>
        <v>0.21110416666666651</v>
      </c>
      <c r="L503" s="14">
        <v>-240.08600000000001</v>
      </c>
      <c r="M503" s="14">
        <v>255.21899999999999</v>
      </c>
      <c r="N503" s="14">
        <v>72.8</v>
      </c>
      <c r="O503" s="14">
        <v>-146.67599999999999</v>
      </c>
      <c r="P503" s="14">
        <v>138.959</v>
      </c>
      <c r="Q503" s="14">
        <v>42.790999999999997</v>
      </c>
      <c r="R503" s="14">
        <v>0.2</v>
      </c>
      <c r="S503" s="15">
        <f t="shared" si="29"/>
        <v>0.20333333333333328</v>
      </c>
      <c r="T503" s="14">
        <v>2.8916000000000004</v>
      </c>
      <c r="U503" s="31">
        <f t="shared" si="27"/>
        <v>1.5546236559139786</v>
      </c>
      <c r="V503" s="2"/>
      <c r="W503" s="2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2.75" customHeight="1" x14ac:dyDescent="0.2">
      <c r="A504" s="11"/>
      <c r="B504" s="31" t="s">
        <v>521</v>
      </c>
      <c r="C504" s="13">
        <v>44477.339276909719</v>
      </c>
      <c r="D504" s="14">
        <v>-204.57599999999999</v>
      </c>
      <c r="E504" s="14">
        <v>220.97399999999999</v>
      </c>
      <c r="F504" s="14">
        <v>65.881</v>
      </c>
      <c r="G504" s="14">
        <v>-110.374</v>
      </c>
      <c r="H504" s="14">
        <v>101.877</v>
      </c>
      <c r="I504" s="14">
        <v>35.338000000000001</v>
      </c>
      <c r="J504" s="14">
        <v>0.22500000000000001</v>
      </c>
      <c r="K504" s="15">
        <f t="shared" si="28"/>
        <v>0.21110416666666651</v>
      </c>
      <c r="L504" s="14">
        <v>-237.63800000000001</v>
      </c>
      <c r="M504" s="14">
        <v>217.114</v>
      </c>
      <c r="N504" s="14">
        <v>66.555999999999997</v>
      </c>
      <c r="O504" s="14">
        <v>-134.78899999999999</v>
      </c>
      <c r="P504" s="14">
        <v>120.61199999999999</v>
      </c>
      <c r="Q504" s="14">
        <v>40.482999999999997</v>
      </c>
      <c r="R504" s="14">
        <v>0.2</v>
      </c>
      <c r="S504" s="15">
        <f t="shared" si="29"/>
        <v>0.20333333333333328</v>
      </c>
      <c r="T504" s="14" t="s">
        <v>26</v>
      </c>
      <c r="U504" s="31" t="e">
        <f t="shared" si="27"/>
        <v>#VALUE!</v>
      </c>
      <c r="V504" s="2"/>
      <c r="W504" s="2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2.75" customHeight="1" x14ac:dyDescent="0.2">
      <c r="A505" s="11"/>
      <c r="B505" s="31" t="s">
        <v>522</v>
      </c>
      <c r="C505" s="13">
        <v>44477.360110185182</v>
      </c>
      <c r="D505" s="14">
        <v>-222.52500000000001</v>
      </c>
      <c r="E505" s="14">
        <v>203.03800000000001</v>
      </c>
      <c r="F505" s="14">
        <v>61.088000000000001</v>
      </c>
      <c r="G505" s="14">
        <v>-115.974</v>
      </c>
      <c r="H505" s="14">
        <v>89.938000000000002</v>
      </c>
      <c r="I505" s="14">
        <v>34.012999999999998</v>
      </c>
      <c r="J505" s="14">
        <v>0.21299999999999999</v>
      </c>
      <c r="K505" s="15">
        <f t="shared" si="28"/>
        <v>0.21110416666666651</v>
      </c>
      <c r="L505" s="14">
        <v>-241.64</v>
      </c>
      <c r="M505" s="14">
        <v>296.49400000000003</v>
      </c>
      <c r="N505" s="14">
        <v>69.349000000000004</v>
      </c>
      <c r="O505" s="14">
        <v>-131.92400000000001</v>
      </c>
      <c r="P505" s="14">
        <v>136.57400000000001</v>
      </c>
      <c r="Q505" s="14">
        <v>42.661999999999999</v>
      </c>
      <c r="R505" s="14">
        <v>0.188</v>
      </c>
      <c r="S505" s="15">
        <f t="shared" si="29"/>
        <v>0.20333333333333328</v>
      </c>
      <c r="T505" s="14">
        <v>2.601</v>
      </c>
      <c r="U505" s="31">
        <f t="shared" si="27"/>
        <v>1.3983870967741934</v>
      </c>
      <c r="V505" s="2"/>
      <c r="W505" s="2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2.75" customHeight="1" x14ac:dyDescent="0.2">
      <c r="A506" s="11"/>
      <c r="B506" s="31" t="s">
        <v>523</v>
      </c>
      <c r="C506" s="13">
        <v>44477.380943460645</v>
      </c>
      <c r="D506" s="14">
        <v>-253.989</v>
      </c>
      <c r="E506" s="14">
        <v>232.40199999999999</v>
      </c>
      <c r="F506" s="14">
        <v>61.56</v>
      </c>
      <c r="G506" s="14">
        <v>-119.215</v>
      </c>
      <c r="H506" s="14">
        <v>118.318</v>
      </c>
      <c r="I506" s="14">
        <v>34.075000000000003</v>
      </c>
      <c r="J506" s="14">
        <v>0.21299999999999999</v>
      </c>
      <c r="K506" s="15">
        <f t="shared" si="28"/>
        <v>0.21110416666666651</v>
      </c>
      <c r="L506" s="14">
        <v>-240.536</v>
      </c>
      <c r="M506" s="14">
        <v>234.785</v>
      </c>
      <c r="N506" s="14">
        <v>67.414000000000001</v>
      </c>
      <c r="O506" s="14">
        <v>-136.02799999999999</v>
      </c>
      <c r="P506" s="14">
        <v>118.124</v>
      </c>
      <c r="Q506" s="14">
        <v>41.607999999999997</v>
      </c>
      <c r="R506" s="14">
        <v>0.2</v>
      </c>
      <c r="S506" s="15">
        <f t="shared" si="29"/>
        <v>0.20333333333333328</v>
      </c>
      <c r="T506" s="14" t="s">
        <v>26</v>
      </c>
      <c r="U506" s="31" t="e">
        <f t="shared" si="27"/>
        <v>#VALUE!</v>
      </c>
      <c r="V506" s="2"/>
      <c r="W506" s="2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2.75" customHeight="1" x14ac:dyDescent="0.2">
      <c r="A507" s="11"/>
      <c r="B507" s="31" t="s">
        <v>524</v>
      </c>
      <c r="C507" s="13">
        <v>44477.401776736115</v>
      </c>
      <c r="D507" s="14">
        <v>-242.20599999999999</v>
      </c>
      <c r="E507" s="14">
        <v>216.416</v>
      </c>
      <c r="F507" s="14">
        <v>61.548000000000002</v>
      </c>
      <c r="G507" s="14">
        <v>-122.833</v>
      </c>
      <c r="H507" s="14">
        <v>90.334999999999994</v>
      </c>
      <c r="I507" s="14">
        <v>34.003999999999998</v>
      </c>
      <c r="J507" s="14">
        <v>0.22500000000000001</v>
      </c>
      <c r="K507" s="15">
        <f t="shared" si="28"/>
        <v>0.21110416666666651</v>
      </c>
      <c r="L507" s="14">
        <v>-191.63</v>
      </c>
      <c r="M507" s="14">
        <v>202.834</v>
      </c>
      <c r="N507" s="14">
        <v>63.058</v>
      </c>
      <c r="O507" s="14">
        <v>-130.22900000000001</v>
      </c>
      <c r="P507" s="14">
        <v>109.61199999999999</v>
      </c>
      <c r="Q507" s="14">
        <v>39.031999999999996</v>
      </c>
      <c r="R507" s="14">
        <v>0.188</v>
      </c>
      <c r="S507" s="15">
        <f t="shared" si="29"/>
        <v>0.20333333333333328</v>
      </c>
      <c r="T507" s="14">
        <v>1.962</v>
      </c>
      <c r="U507" s="31">
        <f t="shared" si="27"/>
        <v>1.0548387096774192</v>
      </c>
      <c r="V507" s="2"/>
      <c r="W507" s="2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2.75" customHeight="1" x14ac:dyDescent="0.2">
      <c r="A508" s="11"/>
      <c r="B508" s="31" t="s">
        <v>525</v>
      </c>
      <c r="C508" s="13">
        <v>44477.422610011577</v>
      </c>
      <c r="D508" s="14">
        <v>-222.369</v>
      </c>
      <c r="E508" s="14">
        <v>211.79499999999999</v>
      </c>
      <c r="F508" s="14">
        <v>59.414000000000001</v>
      </c>
      <c r="G508" s="14">
        <v>-109.604</v>
      </c>
      <c r="H508" s="14">
        <v>89.519000000000005</v>
      </c>
      <c r="I508" s="14">
        <v>32.402000000000001</v>
      </c>
      <c r="J508" s="14">
        <v>0.22500000000000001</v>
      </c>
      <c r="K508" s="15">
        <f t="shared" si="28"/>
        <v>0.21110416666666651</v>
      </c>
      <c r="L508" s="14">
        <v>-232.29599999999999</v>
      </c>
      <c r="M508" s="14">
        <v>254.626</v>
      </c>
      <c r="N508" s="14">
        <v>64.337000000000003</v>
      </c>
      <c r="O508" s="14">
        <v>-113.88</v>
      </c>
      <c r="P508" s="14">
        <v>104.077</v>
      </c>
      <c r="Q508" s="14">
        <v>38.125</v>
      </c>
      <c r="R508" s="14">
        <v>0.2</v>
      </c>
      <c r="S508" s="15">
        <f t="shared" si="29"/>
        <v>0.20333333333333328</v>
      </c>
      <c r="T508" s="14" t="s">
        <v>26</v>
      </c>
      <c r="U508" s="31" t="e">
        <f t="shared" si="27"/>
        <v>#VALUE!</v>
      </c>
      <c r="V508" s="2"/>
      <c r="W508" s="2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2.75" customHeight="1" x14ac:dyDescent="0.2">
      <c r="A509" s="11"/>
      <c r="B509" s="31" t="s">
        <v>526</v>
      </c>
      <c r="C509" s="13">
        <v>44477.44344328704</v>
      </c>
      <c r="D509" s="14">
        <v>-251.07599999999999</v>
      </c>
      <c r="E509" s="14">
        <v>191.94200000000001</v>
      </c>
      <c r="F509" s="14">
        <v>60.201999999999998</v>
      </c>
      <c r="G509" s="14">
        <v>-78.286000000000001</v>
      </c>
      <c r="H509" s="14">
        <v>125.443</v>
      </c>
      <c r="I509" s="14">
        <v>32.814999999999998</v>
      </c>
      <c r="J509" s="14">
        <v>0.22500000000000001</v>
      </c>
      <c r="K509" s="15">
        <f t="shared" si="28"/>
        <v>0.21110416666666651</v>
      </c>
      <c r="L509" s="14">
        <v>-228.44399999999999</v>
      </c>
      <c r="M509" s="14">
        <v>260.98899999999998</v>
      </c>
      <c r="N509" s="14">
        <v>63.768000000000001</v>
      </c>
      <c r="O509" s="14">
        <v>-110.14100000000001</v>
      </c>
      <c r="P509" s="14">
        <v>141.88300000000001</v>
      </c>
      <c r="Q509" s="14">
        <v>38.026000000000003</v>
      </c>
      <c r="R509" s="14">
        <v>0.188</v>
      </c>
      <c r="S509" s="15">
        <f t="shared" si="29"/>
        <v>0.20333333333333328</v>
      </c>
      <c r="T509" s="14">
        <v>2.476</v>
      </c>
      <c r="U509" s="31">
        <f t="shared" si="27"/>
        <v>1.3311827956989246</v>
      </c>
      <c r="V509" s="2"/>
      <c r="W509" s="2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2.75" customHeight="1" x14ac:dyDescent="0.2">
      <c r="A510" s="11"/>
      <c r="B510" s="31" t="s">
        <v>527</v>
      </c>
      <c r="C510" s="13">
        <v>44477.464276562503</v>
      </c>
      <c r="D510" s="14">
        <v>-232.108</v>
      </c>
      <c r="E510" s="14">
        <v>219.505</v>
      </c>
      <c r="F510" s="14">
        <v>57.534999999999997</v>
      </c>
      <c r="G510" s="14">
        <v>-120.48399999999999</v>
      </c>
      <c r="H510" s="14">
        <v>79.989000000000004</v>
      </c>
      <c r="I510" s="14">
        <v>31.361999999999998</v>
      </c>
      <c r="J510" s="14">
        <v>0.22500000000000001</v>
      </c>
      <c r="K510" s="15">
        <f t="shared" si="28"/>
        <v>0.21110416666666651</v>
      </c>
      <c r="L510" s="14">
        <v>-200.72900000000001</v>
      </c>
      <c r="M510" s="14">
        <v>256.87599999999998</v>
      </c>
      <c r="N510" s="14">
        <v>59.889000000000003</v>
      </c>
      <c r="O510" s="14">
        <v>-103.95399999999999</v>
      </c>
      <c r="P510" s="14">
        <v>128.10300000000001</v>
      </c>
      <c r="Q510" s="14">
        <v>35.451999999999998</v>
      </c>
      <c r="R510" s="14">
        <v>0.188</v>
      </c>
      <c r="S510" s="15">
        <f t="shared" si="29"/>
        <v>0.20333333333333328</v>
      </c>
      <c r="T510" s="14" t="s">
        <v>26</v>
      </c>
      <c r="U510" s="31" t="e">
        <f t="shared" si="27"/>
        <v>#VALUE!</v>
      </c>
      <c r="V510" s="2"/>
      <c r="W510" s="2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2.75" customHeight="1" x14ac:dyDescent="0.2">
      <c r="A511" s="11"/>
      <c r="B511" s="31" t="s">
        <v>528</v>
      </c>
      <c r="C511" s="13">
        <v>44477.485109837966</v>
      </c>
      <c r="D511" s="14">
        <v>-210.1</v>
      </c>
      <c r="E511" s="14">
        <v>194.93100000000001</v>
      </c>
      <c r="F511" s="14">
        <v>55.728000000000002</v>
      </c>
      <c r="G511" s="14">
        <v>-91.311000000000007</v>
      </c>
      <c r="H511" s="14">
        <v>92.141999999999996</v>
      </c>
      <c r="I511" s="14">
        <v>29.407</v>
      </c>
      <c r="J511" s="14">
        <v>0.2</v>
      </c>
      <c r="K511" s="15">
        <f t="shared" si="28"/>
        <v>0.21110416666666651</v>
      </c>
      <c r="L511" s="14">
        <v>-189.65600000000001</v>
      </c>
      <c r="M511" s="14">
        <v>235.92699999999999</v>
      </c>
      <c r="N511" s="14">
        <v>59.41</v>
      </c>
      <c r="O511" s="14">
        <v>-110.86799999999999</v>
      </c>
      <c r="P511" s="14">
        <v>98.563000000000002</v>
      </c>
      <c r="Q511" s="14">
        <v>33.360999999999997</v>
      </c>
      <c r="R511" s="14">
        <v>0.22500000000000001</v>
      </c>
      <c r="S511" s="15">
        <f t="shared" si="29"/>
        <v>0.20333333333333328</v>
      </c>
      <c r="T511" s="14">
        <v>1.8420000000000001</v>
      </c>
      <c r="U511" s="31">
        <f t="shared" si="27"/>
        <v>0.99032258064516132</v>
      </c>
      <c r="V511" s="2"/>
      <c r="W511" s="2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2.75" customHeight="1" x14ac:dyDescent="0.2">
      <c r="A512" s="11"/>
      <c r="B512" s="31" t="s">
        <v>529</v>
      </c>
      <c r="C512" s="13">
        <v>44477.505943113429</v>
      </c>
      <c r="D512" s="14">
        <v>-203.19</v>
      </c>
      <c r="E512" s="14">
        <v>171.06299999999999</v>
      </c>
      <c r="F512" s="14">
        <v>55.848999999999997</v>
      </c>
      <c r="G512" s="14">
        <v>-83.876999999999995</v>
      </c>
      <c r="H512" s="14">
        <v>107.846</v>
      </c>
      <c r="I512" s="14">
        <v>29.417000000000002</v>
      </c>
      <c r="J512" s="14">
        <v>0.22500000000000001</v>
      </c>
      <c r="K512" s="15">
        <f t="shared" si="28"/>
        <v>0.21110416666666651</v>
      </c>
      <c r="L512" s="14">
        <v>-172.03899999999999</v>
      </c>
      <c r="M512" s="14">
        <v>198.501</v>
      </c>
      <c r="N512" s="14">
        <v>58.033000000000001</v>
      </c>
      <c r="O512" s="14">
        <v>-118.791</v>
      </c>
      <c r="P512" s="14">
        <v>98.108000000000004</v>
      </c>
      <c r="Q512" s="14">
        <v>33.756999999999998</v>
      </c>
      <c r="R512" s="14">
        <v>0.22500000000000001</v>
      </c>
      <c r="S512" s="15">
        <f t="shared" si="29"/>
        <v>0.20333333333333328</v>
      </c>
      <c r="T512" s="14" t="s">
        <v>26</v>
      </c>
      <c r="U512" s="31" t="e">
        <f t="shared" si="27"/>
        <v>#VALUE!</v>
      </c>
      <c r="V512" s="2"/>
      <c r="W512" s="2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2.75" customHeight="1" x14ac:dyDescent="0.2">
      <c r="A513" s="11"/>
      <c r="B513" s="31" t="s">
        <v>530</v>
      </c>
      <c r="C513" s="13">
        <v>44477.526776388891</v>
      </c>
      <c r="D513" s="14">
        <v>-200.65600000000001</v>
      </c>
      <c r="E513" s="14">
        <v>186.12700000000001</v>
      </c>
      <c r="F513" s="14">
        <v>54.96</v>
      </c>
      <c r="G513" s="14">
        <v>-95.664000000000001</v>
      </c>
      <c r="H513" s="14">
        <v>83.903999999999996</v>
      </c>
      <c r="I513" s="14">
        <v>28.87</v>
      </c>
      <c r="J513" s="14">
        <v>0.2</v>
      </c>
      <c r="K513" s="15">
        <f t="shared" si="28"/>
        <v>0.21110416666666651</v>
      </c>
      <c r="L513" s="14">
        <v>-212.16300000000001</v>
      </c>
      <c r="M513" s="14">
        <v>205.79400000000001</v>
      </c>
      <c r="N513" s="14">
        <v>62.003</v>
      </c>
      <c r="O513" s="14">
        <v>-109.74</v>
      </c>
      <c r="P513" s="14">
        <v>118.244</v>
      </c>
      <c r="Q513" s="14">
        <v>34.695</v>
      </c>
      <c r="R513" s="14">
        <v>0.188</v>
      </c>
      <c r="S513" s="15">
        <f t="shared" si="29"/>
        <v>0.20333333333333328</v>
      </c>
      <c r="T513" s="14">
        <v>2.4524000000000008</v>
      </c>
      <c r="U513" s="31">
        <f t="shared" si="27"/>
        <v>1.3184946236559143</v>
      </c>
      <c r="V513" s="2"/>
      <c r="W513" s="2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2.75" customHeight="1" x14ac:dyDescent="0.2">
      <c r="A514" s="11"/>
      <c r="B514" s="31" t="s">
        <v>531</v>
      </c>
      <c r="C514" s="13">
        <v>44477.547609664354</v>
      </c>
      <c r="D514" s="14">
        <v>-214.34299999999999</v>
      </c>
      <c r="E514" s="14">
        <v>179.102</v>
      </c>
      <c r="F514" s="14">
        <v>55.917999999999999</v>
      </c>
      <c r="G514" s="14">
        <v>-81.643000000000001</v>
      </c>
      <c r="H514" s="14">
        <v>93.046999999999997</v>
      </c>
      <c r="I514" s="14">
        <v>28.449000000000002</v>
      </c>
      <c r="J514" s="14">
        <v>0.22500000000000001</v>
      </c>
      <c r="K514" s="15">
        <f t="shared" si="28"/>
        <v>0.21110416666666651</v>
      </c>
      <c r="L514" s="14">
        <v>-205.934</v>
      </c>
      <c r="M514" s="14">
        <v>213.464</v>
      </c>
      <c r="N514" s="14">
        <v>57.89</v>
      </c>
      <c r="O514" s="14">
        <v>-113.637</v>
      </c>
      <c r="P514" s="14">
        <v>115.319</v>
      </c>
      <c r="Q514" s="14">
        <v>33.469000000000001</v>
      </c>
      <c r="R514" s="14">
        <v>0.2</v>
      </c>
      <c r="S514" s="15">
        <f t="shared" si="29"/>
        <v>0.20333333333333328</v>
      </c>
      <c r="T514" s="14" t="s">
        <v>26</v>
      </c>
      <c r="U514" s="31" t="e">
        <f t="shared" si="27"/>
        <v>#VALUE!</v>
      </c>
      <c r="V514" s="2"/>
      <c r="W514" s="2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2.75" customHeight="1" x14ac:dyDescent="0.2">
      <c r="A515" s="11"/>
      <c r="B515" s="31" t="s">
        <v>532</v>
      </c>
      <c r="C515" s="13">
        <v>44477.568442939817</v>
      </c>
      <c r="D515" s="14">
        <v>-213.13399999999999</v>
      </c>
      <c r="E515" s="14">
        <v>198.09</v>
      </c>
      <c r="F515" s="14">
        <v>55.551000000000002</v>
      </c>
      <c r="G515" s="14">
        <v>-90.802000000000007</v>
      </c>
      <c r="H515" s="14">
        <v>106.931</v>
      </c>
      <c r="I515" s="14">
        <v>28.995000000000001</v>
      </c>
      <c r="J515" s="14">
        <v>0.22500000000000001</v>
      </c>
      <c r="K515" s="15">
        <f t="shared" si="28"/>
        <v>0.21110416666666651</v>
      </c>
      <c r="L515" s="14">
        <v>-210.02500000000001</v>
      </c>
      <c r="M515" s="14">
        <v>218.482</v>
      </c>
      <c r="N515" s="14">
        <v>58.127000000000002</v>
      </c>
      <c r="O515" s="14">
        <v>-89.085999999999999</v>
      </c>
      <c r="P515" s="14">
        <v>129.71199999999999</v>
      </c>
      <c r="Q515" s="14">
        <v>33.204000000000001</v>
      </c>
      <c r="R515" s="14">
        <v>0.22500000000000001</v>
      </c>
      <c r="S515" s="15">
        <f t="shared" si="29"/>
        <v>0.20333333333333328</v>
      </c>
      <c r="T515" s="14">
        <v>2.7</v>
      </c>
      <c r="U515" s="31">
        <f t="shared" si="27"/>
        <v>1.4516129032258065</v>
      </c>
      <c r="V515" s="2"/>
      <c r="W515" s="2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2.75" customHeight="1" x14ac:dyDescent="0.2">
      <c r="A516" s="11"/>
      <c r="B516" s="31" t="s">
        <v>533</v>
      </c>
      <c r="C516" s="13">
        <v>44477.58927621528</v>
      </c>
      <c r="D516" s="14">
        <v>-196.34</v>
      </c>
      <c r="E516" s="14">
        <v>171.65199999999999</v>
      </c>
      <c r="F516" s="14">
        <v>53.573</v>
      </c>
      <c r="G516" s="14">
        <v>-76.504000000000005</v>
      </c>
      <c r="H516" s="14">
        <v>94.492000000000004</v>
      </c>
      <c r="I516" s="14">
        <v>28.056999999999999</v>
      </c>
      <c r="J516" s="14">
        <v>0.22500000000000001</v>
      </c>
      <c r="K516" s="15">
        <f t="shared" si="28"/>
        <v>0.21110416666666651</v>
      </c>
      <c r="L516" s="14">
        <v>-196.68799999999999</v>
      </c>
      <c r="M516" s="14">
        <v>180.315</v>
      </c>
      <c r="N516" s="14">
        <v>57.082000000000001</v>
      </c>
      <c r="O516" s="14">
        <v>-97.134</v>
      </c>
      <c r="P516" s="14">
        <v>103.949</v>
      </c>
      <c r="Q516" s="14">
        <v>33.14</v>
      </c>
      <c r="R516" s="14">
        <v>0.2</v>
      </c>
      <c r="S516" s="15">
        <f t="shared" si="29"/>
        <v>0.20333333333333328</v>
      </c>
      <c r="T516" s="14" t="s">
        <v>26</v>
      </c>
      <c r="U516" s="31" t="e">
        <f t="shared" si="27"/>
        <v>#VALUE!</v>
      </c>
      <c r="V516" s="2"/>
      <c r="W516" s="2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2.75" customHeight="1" x14ac:dyDescent="0.2">
      <c r="A517" s="11"/>
      <c r="B517" s="31" t="s">
        <v>534</v>
      </c>
      <c r="C517" s="13">
        <v>44477.610109490743</v>
      </c>
      <c r="D517" s="14">
        <v>-211.59800000000001</v>
      </c>
      <c r="E517" s="14">
        <v>150.67699999999999</v>
      </c>
      <c r="F517" s="14">
        <v>49.488</v>
      </c>
      <c r="G517" s="14">
        <v>-86.254000000000005</v>
      </c>
      <c r="H517" s="14">
        <v>72.893000000000001</v>
      </c>
      <c r="I517" s="14">
        <v>26.173999999999999</v>
      </c>
      <c r="J517" s="14">
        <v>0.21299999999999999</v>
      </c>
      <c r="K517" s="15">
        <f t="shared" si="28"/>
        <v>0.21110416666666651</v>
      </c>
      <c r="L517" s="14">
        <v>-180.613</v>
      </c>
      <c r="M517" s="14">
        <v>166.22499999999999</v>
      </c>
      <c r="N517" s="14">
        <v>55.524000000000001</v>
      </c>
      <c r="O517" s="14">
        <v>-110.661</v>
      </c>
      <c r="P517" s="14">
        <v>88.129000000000005</v>
      </c>
      <c r="Q517" s="14">
        <v>32.192999999999998</v>
      </c>
      <c r="R517" s="14">
        <v>0.2</v>
      </c>
      <c r="S517" s="15">
        <f t="shared" si="29"/>
        <v>0.20333333333333328</v>
      </c>
      <c r="T517" s="14">
        <v>1.7310000000000001</v>
      </c>
      <c r="U517" s="31">
        <f t="shared" si="27"/>
        <v>0.9306451612903226</v>
      </c>
      <c r="V517" s="2"/>
      <c r="W517" s="2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2.75" customHeight="1" x14ac:dyDescent="0.2">
      <c r="A518" s="11"/>
      <c r="B518" s="31" t="s">
        <v>535</v>
      </c>
      <c r="C518" s="13">
        <v>44477.630942766205</v>
      </c>
      <c r="D518" s="14">
        <v>-158.714</v>
      </c>
      <c r="E518" s="14">
        <v>155.654</v>
      </c>
      <c r="F518" s="14">
        <v>49.811999999999998</v>
      </c>
      <c r="G518" s="14">
        <v>-84.046999999999997</v>
      </c>
      <c r="H518" s="14">
        <v>79.962000000000003</v>
      </c>
      <c r="I518" s="14">
        <v>27.613</v>
      </c>
      <c r="J518" s="14">
        <v>0.2</v>
      </c>
      <c r="K518" s="15">
        <f t="shared" si="28"/>
        <v>0.21110416666666651</v>
      </c>
      <c r="L518" s="14">
        <v>-217.19399999999999</v>
      </c>
      <c r="M518" s="14">
        <v>205.745</v>
      </c>
      <c r="N518" s="14">
        <v>55.180999999999997</v>
      </c>
      <c r="O518" s="14">
        <v>-85.744</v>
      </c>
      <c r="P518" s="14">
        <v>131.459</v>
      </c>
      <c r="Q518" s="14">
        <v>32.801000000000002</v>
      </c>
      <c r="R518" s="14">
        <v>0.22500000000000001</v>
      </c>
      <c r="S518" s="15">
        <f t="shared" si="29"/>
        <v>0.20333333333333328</v>
      </c>
      <c r="T518" s="14" t="s">
        <v>26</v>
      </c>
      <c r="U518" s="31" t="e">
        <f t="shared" si="27"/>
        <v>#VALUE!</v>
      </c>
      <c r="V518" s="2"/>
      <c r="W518" s="2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2.75" customHeight="1" x14ac:dyDescent="0.2">
      <c r="A519" s="11"/>
      <c r="B519" s="31" t="s">
        <v>536</v>
      </c>
      <c r="C519" s="13">
        <v>44477.651776041668</v>
      </c>
      <c r="D519" s="14">
        <v>-183.48699999999999</v>
      </c>
      <c r="E519" s="14">
        <v>158.44800000000001</v>
      </c>
      <c r="F519" s="14">
        <v>48.664000000000001</v>
      </c>
      <c r="G519" s="14">
        <v>-74.700999999999993</v>
      </c>
      <c r="H519" s="14">
        <v>95.968000000000004</v>
      </c>
      <c r="I519" s="14">
        <v>27.122</v>
      </c>
      <c r="J519" s="14">
        <v>0.2</v>
      </c>
      <c r="K519" s="15">
        <f t="shared" si="28"/>
        <v>0.21110416666666651</v>
      </c>
      <c r="L519" s="14">
        <v>-177.517</v>
      </c>
      <c r="M519" s="14">
        <v>176.08600000000001</v>
      </c>
      <c r="N519" s="14">
        <v>55.265999999999998</v>
      </c>
      <c r="O519" s="14">
        <v>-100.322</v>
      </c>
      <c r="P519" s="14">
        <v>108.72799999999999</v>
      </c>
      <c r="Q519" s="14">
        <v>32.698999999999998</v>
      </c>
      <c r="R519" s="14">
        <v>0.22500000000000001</v>
      </c>
      <c r="S519" s="15">
        <f t="shared" si="29"/>
        <v>0.20333333333333328</v>
      </c>
      <c r="T519" s="14">
        <v>2.262</v>
      </c>
      <c r="U519" s="31">
        <f t="shared" si="27"/>
        <v>1.2161290322580645</v>
      </c>
      <c r="V519" s="2"/>
      <c r="W519" s="2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2.75" customHeight="1" x14ac:dyDescent="0.2">
      <c r="A520" s="11"/>
      <c r="B520" s="31" t="s">
        <v>537</v>
      </c>
      <c r="C520" s="13">
        <v>44477.672609317131</v>
      </c>
      <c r="D520" s="14">
        <v>-144.75200000000001</v>
      </c>
      <c r="E520" s="14">
        <v>182.1</v>
      </c>
      <c r="F520" s="14">
        <v>46.792000000000002</v>
      </c>
      <c r="G520" s="14">
        <v>-97.180999999999997</v>
      </c>
      <c r="H520" s="14">
        <v>91.950999999999993</v>
      </c>
      <c r="I520" s="14">
        <v>26.445</v>
      </c>
      <c r="J520" s="14">
        <v>0.21299999999999999</v>
      </c>
      <c r="K520" s="15">
        <f t="shared" si="28"/>
        <v>0.21110416666666651</v>
      </c>
      <c r="L520" s="14">
        <v>-181.411</v>
      </c>
      <c r="M520" s="14">
        <v>194.34800000000001</v>
      </c>
      <c r="N520" s="14">
        <v>52.841999999999999</v>
      </c>
      <c r="O520" s="14">
        <v>-127.65600000000001</v>
      </c>
      <c r="P520" s="14">
        <v>102.717</v>
      </c>
      <c r="Q520" s="14">
        <v>31.896999999999998</v>
      </c>
      <c r="R520" s="14">
        <v>0.2</v>
      </c>
      <c r="S520" s="15">
        <f t="shared" si="29"/>
        <v>0.20333333333333328</v>
      </c>
      <c r="T520" s="14" t="s">
        <v>26</v>
      </c>
      <c r="U520" s="31" t="e">
        <f t="shared" si="27"/>
        <v>#VALUE!</v>
      </c>
      <c r="V520" s="2"/>
      <c r="W520" s="2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2.75" customHeight="1" x14ac:dyDescent="0.2">
      <c r="A521" s="11"/>
      <c r="B521" s="31" t="s">
        <v>538</v>
      </c>
      <c r="C521" s="13">
        <v>44477.693442592594</v>
      </c>
      <c r="D521" s="14">
        <v>-141.34899999999999</v>
      </c>
      <c r="E521" s="14">
        <v>157.96700000000001</v>
      </c>
      <c r="F521" s="14">
        <v>45.781999999999996</v>
      </c>
      <c r="G521" s="14">
        <v>-77.855000000000004</v>
      </c>
      <c r="H521" s="14">
        <v>73.637</v>
      </c>
      <c r="I521" s="14">
        <v>25.620999999999999</v>
      </c>
      <c r="J521" s="14">
        <v>0.2</v>
      </c>
      <c r="K521" s="15">
        <f t="shared" si="28"/>
        <v>0.21110416666666651</v>
      </c>
      <c r="L521" s="14">
        <v>-177.97499999999999</v>
      </c>
      <c r="M521" s="14">
        <v>188.887</v>
      </c>
      <c r="N521" s="14">
        <v>50.320999999999998</v>
      </c>
      <c r="O521" s="14">
        <v>-105.476</v>
      </c>
      <c r="P521" s="14">
        <v>102.256</v>
      </c>
      <c r="Q521" s="14">
        <v>30.975999999999999</v>
      </c>
      <c r="R521" s="14">
        <v>0.188</v>
      </c>
      <c r="S521" s="15">
        <f t="shared" si="29"/>
        <v>0.20333333333333328</v>
      </c>
      <c r="T521" s="14">
        <v>1.8460000000000001</v>
      </c>
      <c r="U521" s="31">
        <f t="shared" ref="U521:U535" si="30">T521/1.86</f>
        <v>0.99247311827956985</v>
      </c>
      <c r="V521" s="2"/>
      <c r="W521" s="2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2.75" customHeight="1" x14ac:dyDescent="0.2">
      <c r="A522" s="11"/>
      <c r="B522" s="31" t="s">
        <v>539</v>
      </c>
      <c r="C522" s="13">
        <v>44477.714275868057</v>
      </c>
      <c r="D522" s="14">
        <v>-141.786</v>
      </c>
      <c r="E522" s="14">
        <v>136.55500000000001</v>
      </c>
      <c r="F522" s="14">
        <v>45.694000000000003</v>
      </c>
      <c r="G522" s="14">
        <v>-84.391000000000005</v>
      </c>
      <c r="H522" s="14">
        <v>67.42</v>
      </c>
      <c r="I522" s="14">
        <v>26.532</v>
      </c>
      <c r="J522" s="14">
        <v>0.2</v>
      </c>
      <c r="K522" s="15">
        <f t="shared" si="28"/>
        <v>0.21110416666666651</v>
      </c>
      <c r="L522" s="14">
        <v>-199.79900000000001</v>
      </c>
      <c r="M522" s="14">
        <v>179.51</v>
      </c>
      <c r="N522" s="14">
        <v>53.271000000000001</v>
      </c>
      <c r="O522" s="14">
        <v>-127.05800000000001</v>
      </c>
      <c r="P522" s="14">
        <v>101.88500000000001</v>
      </c>
      <c r="Q522" s="14">
        <v>33.637</v>
      </c>
      <c r="R522" s="14">
        <v>0.188</v>
      </c>
      <c r="S522" s="15">
        <f t="shared" si="29"/>
        <v>0.20333333333333328</v>
      </c>
      <c r="T522" s="14" t="s">
        <v>26</v>
      </c>
      <c r="U522" s="31" t="e">
        <f t="shared" si="30"/>
        <v>#VALUE!</v>
      </c>
      <c r="V522" s="2"/>
      <c r="W522" s="2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2.75" customHeight="1" x14ac:dyDescent="0.2">
      <c r="A523" s="11"/>
      <c r="B523" s="31" t="s">
        <v>540</v>
      </c>
      <c r="C523" s="13">
        <v>44477.735109143519</v>
      </c>
      <c r="D523" s="14">
        <v>-175.51499999999999</v>
      </c>
      <c r="E523" s="14">
        <v>153.88300000000001</v>
      </c>
      <c r="F523" s="14">
        <v>45.061999999999998</v>
      </c>
      <c r="G523" s="14">
        <v>-70.852000000000004</v>
      </c>
      <c r="H523" s="14">
        <v>90.123999999999995</v>
      </c>
      <c r="I523" s="14">
        <v>25.966000000000001</v>
      </c>
      <c r="J523" s="14">
        <v>0.188</v>
      </c>
      <c r="K523" s="15">
        <f t="shared" si="28"/>
        <v>0.21110416666666651</v>
      </c>
      <c r="L523" s="14">
        <v>-170.916</v>
      </c>
      <c r="M523" s="14">
        <v>200.83099999999999</v>
      </c>
      <c r="N523" s="14">
        <v>52.948999999999998</v>
      </c>
      <c r="O523" s="14">
        <v>-99.537999999999997</v>
      </c>
      <c r="P523" s="14">
        <v>100.58199999999999</v>
      </c>
      <c r="Q523" s="14">
        <v>32.283000000000001</v>
      </c>
      <c r="R523" s="14">
        <v>0.188</v>
      </c>
      <c r="S523" s="15">
        <f t="shared" si="29"/>
        <v>0.20333333333333328</v>
      </c>
      <c r="T523" s="14">
        <v>1.75</v>
      </c>
      <c r="U523" s="31">
        <f t="shared" si="30"/>
        <v>0.94086021505376338</v>
      </c>
      <c r="V523" s="2"/>
      <c r="W523" s="2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2.75" customHeight="1" x14ac:dyDescent="0.2">
      <c r="A524" s="11"/>
      <c r="B524" s="31" t="s">
        <v>541</v>
      </c>
      <c r="C524" s="13">
        <v>44477.755942418982</v>
      </c>
      <c r="D524" s="14">
        <v>-135.21899999999999</v>
      </c>
      <c r="E524" s="14">
        <v>127.983</v>
      </c>
      <c r="F524" s="14">
        <v>44.368000000000002</v>
      </c>
      <c r="G524" s="14">
        <v>-77.900000000000006</v>
      </c>
      <c r="H524" s="14">
        <v>70.352999999999994</v>
      </c>
      <c r="I524" s="14">
        <v>25.835000000000001</v>
      </c>
      <c r="J524" s="14">
        <v>0.2</v>
      </c>
      <c r="K524" s="15">
        <f t="shared" si="28"/>
        <v>0.21110416666666651</v>
      </c>
      <c r="L524" s="14">
        <v>-177.76900000000001</v>
      </c>
      <c r="M524" s="14">
        <v>199.50700000000001</v>
      </c>
      <c r="N524" s="14">
        <v>52.369</v>
      </c>
      <c r="O524" s="14">
        <v>-93.379000000000005</v>
      </c>
      <c r="P524" s="14">
        <v>94.731999999999999</v>
      </c>
      <c r="Q524" s="14">
        <v>31.326000000000001</v>
      </c>
      <c r="R524" s="14">
        <v>0.22500000000000001</v>
      </c>
      <c r="S524" s="15">
        <f t="shared" si="29"/>
        <v>0.20333333333333328</v>
      </c>
      <c r="T524" s="14" t="s">
        <v>26</v>
      </c>
      <c r="U524" s="31" t="e">
        <f t="shared" si="30"/>
        <v>#VALUE!</v>
      </c>
      <c r="V524" s="2"/>
      <c r="W524" s="2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2.75" customHeight="1" x14ac:dyDescent="0.2">
      <c r="A525" s="11"/>
      <c r="B525" s="31" t="s">
        <v>542</v>
      </c>
      <c r="C525" s="13">
        <v>44477.776775694445</v>
      </c>
      <c r="D525" s="14">
        <v>-150.46799999999999</v>
      </c>
      <c r="E525" s="14">
        <v>161.81</v>
      </c>
      <c r="F525" s="14">
        <v>43.637</v>
      </c>
      <c r="G525" s="14">
        <v>-89.754000000000005</v>
      </c>
      <c r="H525" s="14">
        <v>82.498999999999995</v>
      </c>
      <c r="I525" s="14">
        <v>25.248000000000001</v>
      </c>
      <c r="J525" s="14">
        <v>0.21299999999999999</v>
      </c>
      <c r="K525" s="15">
        <f t="shared" si="28"/>
        <v>0.21110416666666651</v>
      </c>
      <c r="L525" s="14">
        <v>-180.011</v>
      </c>
      <c r="M525" s="14">
        <v>225.00200000000001</v>
      </c>
      <c r="N525" s="14">
        <v>53.957000000000001</v>
      </c>
      <c r="O525" s="14">
        <v>-113.575</v>
      </c>
      <c r="P525" s="14">
        <v>96.17</v>
      </c>
      <c r="Q525" s="14">
        <v>32.481999999999999</v>
      </c>
      <c r="R525" s="14">
        <v>0.21299999999999999</v>
      </c>
      <c r="S525" s="15">
        <f t="shared" si="29"/>
        <v>0.20333333333333328</v>
      </c>
      <c r="T525" s="14">
        <v>1.526</v>
      </c>
      <c r="U525" s="31">
        <f t="shared" si="30"/>
        <v>0.82043010752688172</v>
      </c>
      <c r="V525" s="2"/>
      <c r="W525" s="2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2.75" customHeight="1" x14ac:dyDescent="0.2">
      <c r="A526" s="11"/>
      <c r="B526" s="31" t="s">
        <v>543</v>
      </c>
      <c r="C526" s="13">
        <v>44477.797608969908</v>
      </c>
      <c r="D526" s="14">
        <v>-138.75800000000001</v>
      </c>
      <c r="E526" s="14">
        <v>147.47499999999999</v>
      </c>
      <c r="F526" s="14">
        <v>42.664999999999999</v>
      </c>
      <c r="G526" s="14">
        <v>-74.046000000000006</v>
      </c>
      <c r="H526" s="14">
        <v>67.69</v>
      </c>
      <c r="I526" s="14">
        <v>24.507999999999999</v>
      </c>
      <c r="J526" s="14">
        <v>0.2</v>
      </c>
      <c r="K526" s="15">
        <f t="shared" si="28"/>
        <v>0.21110416666666651</v>
      </c>
      <c r="L526" s="14">
        <v>-173.934</v>
      </c>
      <c r="M526" s="14">
        <v>165.892</v>
      </c>
      <c r="N526" s="14">
        <v>51.26</v>
      </c>
      <c r="O526" s="14">
        <v>-95.435000000000002</v>
      </c>
      <c r="P526" s="14">
        <v>81.739000000000004</v>
      </c>
      <c r="Q526" s="14">
        <v>30.254000000000001</v>
      </c>
      <c r="R526" s="14">
        <v>0.22500000000000001</v>
      </c>
      <c r="S526" s="15">
        <f t="shared" si="29"/>
        <v>0.20333333333333328</v>
      </c>
      <c r="T526" s="14" t="s">
        <v>26</v>
      </c>
      <c r="U526" s="31" t="e">
        <f t="shared" si="30"/>
        <v>#VALUE!</v>
      </c>
      <c r="V526" s="2"/>
      <c r="W526" s="2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2.75" customHeight="1" x14ac:dyDescent="0.2">
      <c r="A527" s="11"/>
      <c r="B527" s="31" t="s">
        <v>544</v>
      </c>
      <c r="C527" s="13">
        <v>44477.818442245371</v>
      </c>
      <c r="D527" s="14">
        <v>-146.768</v>
      </c>
      <c r="E527" s="14">
        <v>168.48099999999999</v>
      </c>
      <c r="F527" s="14">
        <v>44.975999999999999</v>
      </c>
      <c r="G527" s="14">
        <v>-92.355000000000004</v>
      </c>
      <c r="H527" s="14">
        <v>87.775000000000006</v>
      </c>
      <c r="I527" s="14">
        <v>26.111000000000001</v>
      </c>
      <c r="J527" s="14">
        <v>0.2</v>
      </c>
      <c r="K527" s="15">
        <f t="shared" si="28"/>
        <v>0.21110416666666651</v>
      </c>
      <c r="L527" s="14">
        <v>-177.422</v>
      </c>
      <c r="M527" s="14">
        <v>192.66800000000001</v>
      </c>
      <c r="N527" s="14">
        <v>55.924999999999997</v>
      </c>
      <c r="O527" s="14">
        <v>-104.554</v>
      </c>
      <c r="P527" s="14">
        <v>89.349000000000004</v>
      </c>
      <c r="Q527" s="14">
        <v>33.338000000000001</v>
      </c>
      <c r="R527" s="14">
        <v>0.22500000000000001</v>
      </c>
      <c r="S527" s="15">
        <f t="shared" si="29"/>
        <v>0.20333333333333328</v>
      </c>
      <c r="T527" s="14">
        <v>1.355</v>
      </c>
      <c r="U527" s="31">
        <f t="shared" si="30"/>
        <v>0.72849462365591389</v>
      </c>
      <c r="V527" s="2"/>
      <c r="W527" s="2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2.75" customHeight="1" x14ac:dyDescent="0.2">
      <c r="A528" s="11"/>
      <c r="B528" s="31" t="s">
        <v>545</v>
      </c>
      <c r="C528" s="13">
        <v>44477.839275520833</v>
      </c>
      <c r="D528" s="14">
        <v>-140.06</v>
      </c>
      <c r="E528" s="14">
        <v>136.91399999999999</v>
      </c>
      <c r="F528" s="14">
        <v>41.331000000000003</v>
      </c>
      <c r="G528" s="14">
        <v>-69.058000000000007</v>
      </c>
      <c r="H528" s="14">
        <v>68.638000000000005</v>
      </c>
      <c r="I528" s="14">
        <v>24.276</v>
      </c>
      <c r="J528" s="14">
        <v>0.2</v>
      </c>
      <c r="K528" s="15">
        <f t="shared" si="28"/>
        <v>0.21110416666666651</v>
      </c>
      <c r="L528" s="14">
        <v>-152.441</v>
      </c>
      <c r="M528" s="14">
        <v>155.59</v>
      </c>
      <c r="N528" s="14">
        <v>49.911000000000001</v>
      </c>
      <c r="O528" s="14">
        <v>-82.063000000000002</v>
      </c>
      <c r="P528" s="14">
        <v>102.422</v>
      </c>
      <c r="Q528" s="14">
        <v>30.492999999999999</v>
      </c>
      <c r="R528" s="14">
        <v>0.2</v>
      </c>
      <c r="S528" s="15">
        <f t="shared" si="29"/>
        <v>0.20333333333333328</v>
      </c>
      <c r="T528" s="14" t="s">
        <v>26</v>
      </c>
      <c r="U528" s="31" t="e">
        <f t="shared" si="30"/>
        <v>#VALUE!</v>
      </c>
      <c r="V528" s="2"/>
      <c r="W528" s="2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2.75" customHeight="1" x14ac:dyDescent="0.2">
      <c r="A529" s="11"/>
      <c r="B529" s="31" t="s">
        <v>546</v>
      </c>
      <c r="C529" s="13">
        <v>44477.860108796296</v>
      </c>
      <c r="D529" s="14">
        <v>-130.35900000000001</v>
      </c>
      <c r="E529" s="14">
        <v>157.24700000000001</v>
      </c>
      <c r="F529" s="14">
        <v>43.237000000000002</v>
      </c>
      <c r="G529" s="14">
        <v>-66.495000000000005</v>
      </c>
      <c r="H529" s="14">
        <v>79.031000000000006</v>
      </c>
      <c r="I529" s="14">
        <v>25.629000000000001</v>
      </c>
      <c r="J529" s="14">
        <v>0.2</v>
      </c>
      <c r="K529" s="15">
        <f t="shared" si="28"/>
        <v>0.21110416666666651</v>
      </c>
      <c r="L529" s="14">
        <v>-171.209</v>
      </c>
      <c r="M529" s="14">
        <v>163.048</v>
      </c>
      <c r="N529" s="14">
        <v>49.585000000000001</v>
      </c>
      <c r="O529" s="14">
        <v>-99.456000000000003</v>
      </c>
      <c r="P529" s="14">
        <v>95.302999999999997</v>
      </c>
      <c r="Q529" s="14">
        <v>30.692</v>
      </c>
      <c r="R529" s="14">
        <v>0.188</v>
      </c>
      <c r="S529" s="15">
        <f t="shared" si="29"/>
        <v>0.20333333333333328</v>
      </c>
      <c r="T529" s="14">
        <v>1.5680000000000001</v>
      </c>
      <c r="U529" s="31">
        <f t="shared" si="30"/>
        <v>0.84301075268817205</v>
      </c>
      <c r="V529" s="2"/>
      <c r="W529" s="2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2.75" customHeight="1" x14ac:dyDescent="0.2">
      <c r="A530" s="11"/>
      <c r="B530" s="31" t="s">
        <v>547</v>
      </c>
      <c r="C530" s="13">
        <v>44477.880942071759</v>
      </c>
      <c r="D530" s="14">
        <v>-121.64100000000001</v>
      </c>
      <c r="E530" s="14">
        <v>131.12299999999999</v>
      </c>
      <c r="F530" s="14">
        <v>40.665999999999997</v>
      </c>
      <c r="G530" s="14">
        <v>-76.721999999999994</v>
      </c>
      <c r="H530" s="14">
        <v>58.317999999999998</v>
      </c>
      <c r="I530" s="14">
        <v>23.670999999999999</v>
      </c>
      <c r="J530" s="14">
        <v>0.21299999999999999</v>
      </c>
      <c r="K530" s="15">
        <f t="shared" si="28"/>
        <v>0.21110416666666651</v>
      </c>
      <c r="L530" s="14">
        <v>-214.7</v>
      </c>
      <c r="M530" s="14">
        <v>240.32900000000001</v>
      </c>
      <c r="N530" s="14">
        <v>48.152999999999999</v>
      </c>
      <c r="O530" s="14">
        <v>-116.26900000000001</v>
      </c>
      <c r="P530" s="14">
        <v>89.965000000000003</v>
      </c>
      <c r="Q530" s="14">
        <v>30.088999999999999</v>
      </c>
      <c r="R530" s="14">
        <v>0.188</v>
      </c>
      <c r="S530" s="15">
        <f t="shared" si="29"/>
        <v>0.20333333333333328</v>
      </c>
      <c r="T530" s="14" t="s">
        <v>26</v>
      </c>
      <c r="U530" s="31" t="e">
        <f t="shared" si="30"/>
        <v>#VALUE!</v>
      </c>
      <c r="V530" s="2"/>
      <c r="W530" s="2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2.75" customHeight="1" x14ac:dyDescent="0.2">
      <c r="A531" s="11"/>
      <c r="B531" s="31" t="s">
        <v>548</v>
      </c>
      <c r="C531" s="13">
        <v>44477.901775347222</v>
      </c>
      <c r="D531" s="14">
        <v>-138.97</v>
      </c>
      <c r="E531" s="14">
        <v>147.524</v>
      </c>
      <c r="F531" s="14">
        <v>40.563000000000002</v>
      </c>
      <c r="G531" s="14">
        <v>-51.119</v>
      </c>
      <c r="H531" s="14">
        <v>107.26</v>
      </c>
      <c r="I531" s="14">
        <v>24.131</v>
      </c>
      <c r="J531" s="14">
        <v>0.22500000000000001</v>
      </c>
      <c r="K531" s="15">
        <f t="shared" si="28"/>
        <v>0.21110416666666651</v>
      </c>
      <c r="L531" s="14">
        <v>-143.833</v>
      </c>
      <c r="M531" s="14">
        <v>173.67</v>
      </c>
      <c r="N531" s="14">
        <v>46.53</v>
      </c>
      <c r="O531" s="14">
        <v>-81.319000000000003</v>
      </c>
      <c r="P531" s="14">
        <v>85.966999999999999</v>
      </c>
      <c r="Q531" s="14">
        <v>27.626999999999999</v>
      </c>
      <c r="R531" s="14">
        <v>0.188</v>
      </c>
      <c r="S531" s="15">
        <f t="shared" si="29"/>
        <v>0.20333333333333328</v>
      </c>
      <c r="T531" s="14">
        <v>1.464</v>
      </c>
      <c r="U531" s="31">
        <f t="shared" si="30"/>
        <v>0.78709677419354829</v>
      </c>
      <c r="V531" s="2"/>
      <c r="W531" s="2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2.75" customHeight="1" x14ac:dyDescent="0.2">
      <c r="A532" s="11"/>
      <c r="B532" s="31" t="s">
        <v>549</v>
      </c>
      <c r="C532" s="13">
        <v>44477.922608622684</v>
      </c>
      <c r="D532" s="14">
        <v>-154.16300000000001</v>
      </c>
      <c r="E532" s="14">
        <v>138.24799999999999</v>
      </c>
      <c r="F532" s="14">
        <v>40.459000000000003</v>
      </c>
      <c r="G532" s="14">
        <v>-67.528999999999996</v>
      </c>
      <c r="H532" s="14">
        <v>69.305000000000007</v>
      </c>
      <c r="I532" s="14">
        <v>23.151</v>
      </c>
      <c r="J532" s="14">
        <v>0.21299999999999999</v>
      </c>
      <c r="K532" s="15">
        <f t="shared" si="28"/>
        <v>0.21110416666666651</v>
      </c>
      <c r="L532" s="14">
        <v>-156.637</v>
      </c>
      <c r="M532" s="14">
        <v>162.47300000000001</v>
      </c>
      <c r="N532" s="14">
        <v>47.668999999999997</v>
      </c>
      <c r="O532" s="14">
        <v>-93.141000000000005</v>
      </c>
      <c r="P532" s="14">
        <v>94.164000000000001</v>
      </c>
      <c r="Q532" s="14">
        <v>29.201000000000001</v>
      </c>
      <c r="R532" s="14">
        <v>0.22500000000000001</v>
      </c>
      <c r="S532" s="15">
        <f t="shared" si="29"/>
        <v>0.20333333333333328</v>
      </c>
      <c r="T532" s="14" t="s">
        <v>26</v>
      </c>
      <c r="U532" s="31" t="e">
        <f t="shared" si="30"/>
        <v>#VALUE!</v>
      </c>
      <c r="V532" s="2"/>
      <c r="W532" s="2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2.75" customHeight="1" x14ac:dyDescent="0.2">
      <c r="A533" s="11"/>
      <c r="B533" s="31" t="s">
        <v>550</v>
      </c>
      <c r="C533" s="13">
        <v>44477.943441898147</v>
      </c>
      <c r="D533" s="14">
        <v>-213.85400000000001</v>
      </c>
      <c r="E533" s="14">
        <v>153.00700000000001</v>
      </c>
      <c r="F533" s="14">
        <v>41.838000000000001</v>
      </c>
      <c r="G533" s="14">
        <v>-75.108999999999995</v>
      </c>
      <c r="H533" s="14">
        <v>93.436999999999998</v>
      </c>
      <c r="I533" s="14">
        <v>23.940999999999999</v>
      </c>
      <c r="J533" s="14">
        <v>0.22500000000000001</v>
      </c>
      <c r="K533" s="15">
        <f t="shared" si="28"/>
        <v>0.21110416666666651</v>
      </c>
      <c r="L533" s="14">
        <v>-176.43700000000001</v>
      </c>
      <c r="M533" s="14">
        <v>175.411</v>
      </c>
      <c r="N533" s="14">
        <v>48.524999999999999</v>
      </c>
      <c r="O533" s="14">
        <v>-96.700999999999993</v>
      </c>
      <c r="P533" s="14">
        <v>101.92700000000001</v>
      </c>
      <c r="Q533" s="14">
        <v>29.579000000000001</v>
      </c>
      <c r="R533" s="14">
        <v>0.22500000000000001</v>
      </c>
      <c r="S533" s="15">
        <f t="shared" si="29"/>
        <v>0.20333333333333328</v>
      </c>
      <c r="T533" s="14">
        <v>1.379</v>
      </c>
      <c r="U533" s="31">
        <f t="shared" si="30"/>
        <v>0.74139784946236553</v>
      </c>
      <c r="V533" s="2"/>
      <c r="W533" s="2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2.75" customHeight="1" x14ac:dyDescent="0.2">
      <c r="A534" s="11"/>
      <c r="B534" s="31" t="s">
        <v>551</v>
      </c>
      <c r="C534" s="13">
        <v>44477.96427517361</v>
      </c>
      <c r="D534" s="14">
        <v>-153.697</v>
      </c>
      <c r="E534" s="14">
        <v>143.02500000000001</v>
      </c>
      <c r="F534" s="14">
        <v>41.344999999999999</v>
      </c>
      <c r="G534" s="14">
        <v>-98.537999999999997</v>
      </c>
      <c r="H534" s="14">
        <v>63.731999999999999</v>
      </c>
      <c r="I534" s="14">
        <v>24.338000000000001</v>
      </c>
      <c r="J534" s="14">
        <v>0.21299999999999999</v>
      </c>
      <c r="K534" s="15">
        <f t="shared" si="28"/>
        <v>0.21110416666666651</v>
      </c>
      <c r="L534" s="14">
        <v>-172.90100000000001</v>
      </c>
      <c r="M534" s="14">
        <v>159.02699999999999</v>
      </c>
      <c r="N534" s="14">
        <v>46.383000000000003</v>
      </c>
      <c r="O534" s="14">
        <v>-103.971</v>
      </c>
      <c r="P534" s="14">
        <v>82.986999999999995</v>
      </c>
      <c r="Q534" s="14">
        <v>27.873999999999999</v>
      </c>
      <c r="R534" s="14">
        <v>0.22500000000000001</v>
      </c>
      <c r="S534" s="15">
        <f t="shared" si="29"/>
        <v>0.20333333333333328</v>
      </c>
      <c r="T534" s="14" t="s">
        <v>26</v>
      </c>
      <c r="U534" s="31" t="e">
        <f t="shared" si="30"/>
        <v>#VALUE!</v>
      </c>
      <c r="V534" s="2"/>
      <c r="W534" s="2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2.75" customHeight="1" x14ac:dyDescent="0.2">
      <c r="A535" s="11"/>
      <c r="B535" s="31" t="s">
        <v>552</v>
      </c>
      <c r="C535" s="13">
        <v>44477.985108449073</v>
      </c>
      <c r="D535" s="14">
        <v>-156.441</v>
      </c>
      <c r="E535" s="14">
        <v>138.298</v>
      </c>
      <c r="F535" s="14">
        <v>42.091000000000001</v>
      </c>
      <c r="G535" s="14">
        <v>-79.602000000000004</v>
      </c>
      <c r="H535" s="14">
        <v>62.188000000000002</v>
      </c>
      <c r="I535" s="14">
        <v>23.646999999999998</v>
      </c>
      <c r="J535" s="14">
        <v>0.21299999999999999</v>
      </c>
      <c r="K535" s="15">
        <f t="shared" si="28"/>
        <v>0.21110416666666651</v>
      </c>
      <c r="L535" s="14">
        <v>-185.91499999999999</v>
      </c>
      <c r="M535" s="14">
        <v>157.64599999999999</v>
      </c>
      <c r="N535" s="14">
        <v>46.491999999999997</v>
      </c>
      <c r="O535" s="14">
        <v>-82.132000000000005</v>
      </c>
      <c r="P535" s="14">
        <v>124.889</v>
      </c>
      <c r="Q535" s="14">
        <v>28.593</v>
      </c>
      <c r="R535" s="14">
        <v>0.22500000000000001</v>
      </c>
      <c r="S535" s="15">
        <f t="shared" si="29"/>
        <v>0.20333333333333328</v>
      </c>
      <c r="T535" s="14">
        <v>1.5189999999999999</v>
      </c>
      <c r="U535" s="31">
        <f t="shared" si="30"/>
        <v>0.81666666666666654</v>
      </c>
      <c r="V535" s="2"/>
      <c r="W535" s="2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2.75" customHeight="1" x14ac:dyDescent="0.2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3"/>
      <c r="T536" s="4"/>
      <c r="U536" s="1"/>
      <c r="V536" s="2"/>
      <c r="W536" s="2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2.75" customHeight="1" x14ac:dyDescent="0.2">
      <c r="A537" s="1"/>
      <c r="B537" s="1"/>
      <c r="C537" s="1"/>
      <c r="D537" s="2"/>
      <c r="E537" s="2"/>
      <c r="F537" s="2"/>
      <c r="G537" s="2"/>
      <c r="H537" s="2"/>
      <c r="I537" s="2" t="s">
        <v>553</v>
      </c>
      <c r="J537" s="32">
        <f>MIN(J8:J535)</f>
        <v>0.188</v>
      </c>
      <c r="K537" s="2"/>
      <c r="L537" s="2"/>
      <c r="M537" s="2"/>
      <c r="N537" s="2"/>
      <c r="O537" s="2"/>
      <c r="P537" s="2"/>
      <c r="Q537" s="2" t="s">
        <v>553</v>
      </c>
      <c r="R537" s="32">
        <f>MIN(R8:R535)</f>
        <v>0.17499999999999999</v>
      </c>
      <c r="S537" s="3"/>
      <c r="T537" s="4"/>
      <c r="U537" s="1"/>
      <c r="V537" s="2"/>
      <c r="W537" s="2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2.75" customHeight="1" x14ac:dyDescent="0.2">
      <c r="A538" s="1"/>
      <c r="B538" s="1"/>
      <c r="C538" s="1"/>
      <c r="D538" s="2"/>
      <c r="E538" s="2"/>
      <c r="F538" s="2"/>
      <c r="G538" s="2"/>
      <c r="H538" s="2"/>
      <c r="I538" s="2" t="s">
        <v>554</v>
      </c>
      <c r="J538" s="32">
        <f>MAX(J8:J535)</f>
        <v>0.22500000000000001</v>
      </c>
      <c r="K538" s="2"/>
      <c r="L538" s="2"/>
      <c r="M538" s="2"/>
      <c r="N538" s="2"/>
      <c r="O538" s="2"/>
      <c r="P538" s="2"/>
      <c r="Q538" s="2" t="s">
        <v>554</v>
      </c>
      <c r="R538" s="32">
        <f>MAX(R8:R535)</f>
        <v>0.22500000000000001</v>
      </c>
      <c r="S538" s="3"/>
      <c r="T538" s="4"/>
      <c r="U538" s="1"/>
      <c r="V538" s="2"/>
      <c r="W538" s="2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2.75" customHeight="1" x14ac:dyDescent="0.2">
      <c r="A539" s="1"/>
      <c r="B539" s="1"/>
      <c r="C539" s="1"/>
      <c r="D539" s="2"/>
      <c r="E539" s="2"/>
      <c r="F539" s="2"/>
      <c r="G539" s="2"/>
      <c r="H539" s="2"/>
      <c r="I539" s="2" t="s">
        <v>555</v>
      </c>
      <c r="J539" s="32">
        <f>J538-J537</f>
        <v>3.7000000000000005E-2</v>
      </c>
      <c r="K539" s="2"/>
      <c r="L539" s="2"/>
      <c r="M539" s="2"/>
      <c r="N539" s="2"/>
      <c r="O539" s="2"/>
      <c r="P539" s="2"/>
      <c r="Q539" s="2" t="s">
        <v>555</v>
      </c>
      <c r="R539" s="32">
        <f>R538-R537</f>
        <v>5.0000000000000017E-2</v>
      </c>
      <c r="S539" s="3"/>
      <c r="T539" s="4"/>
      <c r="U539" s="1"/>
      <c r="V539" s="2"/>
      <c r="W539" s="2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2.75" customHeight="1" x14ac:dyDescent="0.2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3"/>
      <c r="T540" s="4"/>
      <c r="U540" s="1"/>
      <c r="V540" s="2"/>
      <c r="W540" s="2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2.75" customHeight="1" x14ac:dyDescent="0.2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3"/>
      <c r="T541" s="4"/>
      <c r="U541" s="1"/>
      <c r="V541" s="2"/>
      <c r="W541" s="2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2.75" customHeight="1" x14ac:dyDescent="0.2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3"/>
      <c r="T542" s="4"/>
      <c r="U542" s="1"/>
      <c r="V542" s="2"/>
      <c r="W542" s="2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2.75" customHeight="1" x14ac:dyDescent="0.2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3"/>
      <c r="T543" s="4"/>
      <c r="U543" s="1"/>
      <c r="V543" s="2"/>
      <c r="W543" s="2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2.75" customHeight="1" x14ac:dyDescent="0.2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3"/>
      <c r="T544" s="4"/>
      <c r="U544" s="1"/>
      <c r="V544" s="2"/>
      <c r="W544" s="2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2.75" customHeight="1" x14ac:dyDescent="0.2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3"/>
      <c r="T545" s="4"/>
      <c r="U545" s="1"/>
      <c r="V545" s="2"/>
      <c r="W545" s="2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2.75" customHeight="1" x14ac:dyDescent="0.2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3"/>
      <c r="T546" s="4"/>
      <c r="U546" s="1"/>
      <c r="V546" s="2"/>
      <c r="W546" s="2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2.75" customHeight="1" x14ac:dyDescent="0.2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3"/>
      <c r="T547" s="4"/>
      <c r="U547" s="1"/>
      <c r="V547" s="2"/>
      <c r="W547" s="2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2.75" customHeight="1" x14ac:dyDescent="0.2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3"/>
      <c r="T548" s="4"/>
      <c r="U548" s="1"/>
      <c r="V548" s="2"/>
      <c r="W548" s="2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2.75" customHeight="1" x14ac:dyDescent="0.2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3"/>
      <c r="T549" s="4"/>
      <c r="U549" s="1"/>
      <c r="V549" s="2"/>
      <c r="W549" s="2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2.75" customHeight="1" x14ac:dyDescent="0.2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3"/>
      <c r="T550" s="4"/>
      <c r="U550" s="1"/>
      <c r="V550" s="2"/>
      <c r="W550" s="2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2.75" customHeight="1" x14ac:dyDescent="0.2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3"/>
      <c r="T551" s="4"/>
      <c r="U551" s="1"/>
      <c r="V551" s="2"/>
      <c r="W551" s="2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2.75" customHeight="1" x14ac:dyDescent="0.2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3"/>
      <c r="T552" s="4"/>
      <c r="U552" s="1"/>
      <c r="V552" s="2"/>
      <c r="W552" s="2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2.75" customHeight="1" x14ac:dyDescent="0.2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3"/>
      <c r="T553" s="4"/>
      <c r="U553" s="1"/>
      <c r="V553" s="2"/>
      <c r="W553" s="2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2.75" customHeight="1" x14ac:dyDescent="0.2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3"/>
      <c r="T554" s="4"/>
      <c r="U554" s="1"/>
      <c r="V554" s="2"/>
      <c r="W554" s="2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2.75" customHeight="1" x14ac:dyDescent="0.2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3"/>
      <c r="T555" s="4"/>
      <c r="U555" s="1"/>
      <c r="V555" s="2"/>
      <c r="W555" s="2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2.75" customHeight="1" x14ac:dyDescent="0.2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3"/>
      <c r="T556" s="4"/>
      <c r="U556" s="1"/>
      <c r="V556" s="2"/>
      <c r="W556" s="2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2.75" customHeight="1" x14ac:dyDescent="0.2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3"/>
      <c r="T557" s="4"/>
      <c r="U557" s="1"/>
      <c r="V557" s="2"/>
      <c r="W557" s="2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2.75" customHeight="1" x14ac:dyDescent="0.2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3"/>
      <c r="T558" s="4"/>
      <c r="U558" s="1"/>
      <c r="V558" s="2"/>
      <c r="W558" s="2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2.75" customHeight="1" x14ac:dyDescent="0.2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3"/>
      <c r="T559" s="4"/>
      <c r="U559" s="1"/>
      <c r="V559" s="2"/>
      <c r="W559" s="2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2.75" customHeight="1" x14ac:dyDescent="0.2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3"/>
      <c r="T560" s="4"/>
      <c r="U560" s="1"/>
      <c r="V560" s="2"/>
      <c r="W560" s="2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2.75" customHeight="1" x14ac:dyDescent="0.2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3"/>
      <c r="T561" s="4"/>
      <c r="U561" s="1"/>
      <c r="V561" s="2"/>
      <c r="W561" s="2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2.75" customHeight="1" x14ac:dyDescent="0.2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3"/>
      <c r="T562" s="4"/>
      <c r="U562" s="1"/>
      <c r="V562" s="2"/>
      <c r="W562" s="2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2.75" customHeight="1" x14ac:dyDescent="0.2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3"/>
      <c r="T563" s="4"/>
      <c r="U563" s="1"/>
      <c r="V563" s="2"/>
      <c r="W563" s="2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2.75" customHeight="1" x14ac:dyDescent="0.2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3"/>
      <c r="T564" s="4"/>
      <c r="U564" s="1"/>
      <c r="V564" s="2"/>
      <c r="W564" s="2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2.75" customHeight="1" x14ac:dyDescent="0.2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3"/>
      <c r="T565" s="4"/>
      <c r="U565" s="1"/>
      <c r="V565" s="2"/>
      <c r="W565" s="2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2.75" customHeight="1" x14ac:dyDescent="0.2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3"/>
      <c r="T566" s="4"/>
      <c r="U566" s="1"/>
      <c r="V566" s="2"/>
      <c r="W566" s="2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2.75" customHeight="1" x14ac:dyDescent="0.2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3"/>
      <c r="T567" s="4"/>
      <c r="U567" s="1"/>
      <c r="V567" s="2"/>
      <c r="W567" s="2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2.75" customHeight="1" x14ac:dyDescent="0.2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3"/>
      <c r="T568" s="4"/>
      <c r="U568" s="1"/>
      <c r="V568" s="2"/>
      <c r="W568" s="2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2.75" customHeight="1" x14ac:dyDescent="0.2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3"/>
      <c r="T569" s="4"/>
      <c r="U569" s="1"/>
      <c r="V569" s="2"/>
      <c r="W569" s="2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2.75" customHeight="1" x14ac:dyDescent="0.2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3"/>
      <c r="T570" s="4"/>
      <c r="U570" s="1"/>
      <c r="V570" s="2"/>
      <c r="W570" s="2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2.75" customHeight="1" x14ac:dyDescent="0.2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3"/>
      <c r="T571" s="4"/>
      <c r="U571" s="1"/>
      <c r="V571" s="2"/>
      <c r="W571" s="2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2.75" customHeight="1" x14ac:dyDescent="0.2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3"/>
      <c r="T572" s="4"/>
      <c r="U572" s="1"/>
      <c r="V572" s="2"/>
      <c r="W572" s="2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2.75" customHeight="1" x14ac:dyDescent="0.2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3"/>
      <c r="T573" s="4"/>
      <c r="U573" s="1"/>
      <c r="V573" s="2"/>
      <c r="W573" s="2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2.75" customHeight="1" x14ac:dyDescent="0.2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3"/>
      <c r="T574" s="4"/>
      <c r="U574" s="1"/>
      <c r="V574" s="2"/>
      <c r="W574" s="2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2.75" customHeight="1" x14ac:dyDescent="0.2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3"/>
      <c r="T575" s="4"/>
      <c r="U575" s="1"/>
      <c r="V575" s="2"/>
      <c r="W575" s="2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2.75" customHeight="1" x14ac:dyDescent="0.2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3"/>
      <c r="T576" s="4"/>
      <c r="U576" s="1"/>
      <c r="V576" s="2"/>
      <c r="W576" s="2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2.75" customHeight="1" x14ac:dyDescent="0.2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3"/>
      <c r="T577" s="4"/>
      <c r="U577" s="1"/>
      <c r="V577" s="2"/>
      <c r="W577" s="2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2.75" customHeight="1" x14ac:dyDescent="0.2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3"/>
      <c r="T578" s="4"/>
      <c r="U578" s="1"/>
      <c r="V578" s="2"/>
      <c r="W578" s="2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2.75" customHeight="1" x14ac:dyDescent="0.2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3"/>
      <c r="T579" s="4"/>
      <c r="U579" s="1"/>
      <c r="V579" s="2"/>
      <c r="W579" s="2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2.75" customHeight="1" x14ac:dyDescent="0.2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3"/>
      <c r="T580" s="4"/>
      <c r="U580" s="1"/>
      <c r="V580" s="2"/>
      <c r="W580" s="2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2.75" customHeight="1" x14ac:dyDescent="0.2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3"/>
      <c r="T581" s="4"/>
      <c r="U581" s="1"/>
      <c r="V581" s="2"/>
      <c r="W581" s="2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2.75" customHeight="1" x14ac:dyDescent="0.2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3"/>
      <c r="T582" s="4"/>
      <c r="U582" s="1"/>
      <c r="V582" s="2"/>
      <c r="W582" s="2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2.75" customHeight="1" x14ac:dyDescent="0.2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3"/>
      <c r="T583" s="4"/>
      <c r="U583" s="1"/>
      <c r="V583" s="2"/>
      <c r="W583" s="2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2.75" customHeight="1" x14ac:dyDescent="0.2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3"/>
      <c r="T584" s="4"/>
      <c r="U584" s="1"/>
      <c r="V584" s="2"/>
      <c r="W584" s="2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2.75" customHeight="1" x14ac:dyDescent="0.2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3"/>
      <c r="T585" s="4"/>
      <c r="U585" s="1"/>
      <c r="V585" s="2"/>
      <c r="W585" s="2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2.75" customHeight="1" x14ac:dyDescent="0.2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3"/>
      <c r="T586" s="4"/>
      <c r="U586" s="1"/>
      <c r="V586" s="2"/>
      <c r="W586" s="2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2.75" customHeight="1" x14ac:dyDescent="0.2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3"/>
      <c r="T587" s="4"/>
      <c r="U587" s="1"/>
      <c r="V587" s="2"/>
      <c r="W587" s="2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2.75" customHeight="1" x14ac:dyDescent="0.2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3"/>
      <c r="T588" s="4"/>
      <c r="U588" s="1"/>
      <c r="V588" s="2"/>
      <c r="W588" s="2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2.75" customHeight="1" x14ac:dyDescent="0.2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3"/>
      <c r="T589" s="4"/>
      <c r="U589" s="1"/>
      <c r="V589" s="2"/>
      <c r="W589" s="2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2.75" customHeight="1" x14ac:dyDescent="0.2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3"/>
      <c r="T590" s="4"/>
      <c r="U590" s="1"/>
      <c r="V590" s="2"/>
      <c r="W590" s="2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2.75" customHeight="1" x14ac:dyDescent="0.2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3"/>
      <c r="T591" s="4"/>
      <c r="U591" s="1"/>
      <c r="V591" s="2"/>
      <c r="W591" s="2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2.75" customHeight="1" x14ac:dyDescent="0.2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3"/>
      <c r="T592" s="4"/>
      <c r="U592" s="1"/>
      <c r="V592" s="2"/>
      <c r="W592" s="2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2.75" customHeight="1" x14ac:dyDescent="0.2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3"/>
      <c r="T593" s="4"/>
      <c r="U593" s="1"/>
      <c r="V593" s="2"/>
      <c r="W593" s="2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2.75" customHeight="1" x14ac:dyDescent="0.2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3"/>
      <c r="T594" s="4"/>
      <c r="U594" s="1"/>
      <c r="V594" s="2"/>
      <c r="W594" s="2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2.75" customHeight="1" x14ac:dyDescent="0.2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3"/>
      <c r="T595" s="4"/>
      <c r="U595" s="1"/>
      <c r="V595" s="2"/>
      <c r="W595" s="2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2.75" customHeight="1" x14ac:dyDescent="0.2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3"/>
      <c r="T596" s="4"/>
      <c r="U596" s="1"/>
      <c r="V596" s="2"/>
      <c r="W596" s="2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2.75" customHeight="1" x14ac:dyDescent="0.2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3"/>
      <c r="T597" s="4"/>
      <c r="U597" s="1"/>
      <c r="V597" s="2"/>
      <c r="W597" s="2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2.75" customHeight="1" x14ac:dyDescent="0.2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3"/>
      <c r="T598" s="4"/>
      <c r="U598" s="1"/>
      <c r="V598" s="2"/>
      <c r="W598" s="2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2.75" customHeight="1" x14ac:dyDescent="0.2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3"/>
      <c r="T599" s="4"/>
      <c r="U599" s="1"/>
      <c r="V599" s="2"/>
      <c r="W599" s="2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2.75" customHeight="1" x14ac:dyDescent="0.2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3"/>
      <c r="T600" s="4"/>
      <c r="U600" s="1"/>
      <c r="V600" s="2"/>
      <c r="W600" s="2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2.75" customHeight="1" x14ac:dyDescent="0.2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3"/>
      <c r="T601" s="4"/>
      <c r="U601" s="1"/>
      <c r="V601" s="2"/>
      <c r="W601" s="2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2.75" customHeight="1" x14ac:dyDescent="0.2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3"/>
      <c r="T602" s="4"/>
      <c r="U602" s="1"/>
      <c r="V602" s="2"/>
      <c r="W602" s="2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2.75" customHeight="1" x14ac:dyDescent="0.2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3"/>
      <c r="T603" s="4"/>
      <c r="U603" s="1"/>
      <c r="V603" s="2"/>
      <c r="W603" s="2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2.75" customHeight="1" x14ac:dyDescent="0.2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3"/>
      <c r="T604" s="4"/>
      <c r="U604" s="1"/>
      <c r="V604" s="2"/>
      <c r="W604" s="2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2.75" customHeight="1" x14ac:dyDescent="0.2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3"/>
      <c r="T605" s="4"/>
      <c r="U605" s="1"/>
      <c r="V605" s="2"/>
      <c r="W605" s="2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2.75" customHeight="1" x14ac:dyDescent="0.2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3"/>
      <c r="T606" s="4"/>
      <c r="U606" s="1"/>
      <c r="V606" s="2"/>
      <c r="W606" s="2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2.75" customHeight="1" x14ac:dyDescent="0.2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3"/>
      <c r="T607" s="4"/>
      <c r="U607" s="1"/>
      <c r="V607" s="2"/>
      <c r="W607" s="2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2.75" customHeight="1" x14ac:dyDescent="0.2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3"/>
      <c r="T608" s="4"/>
      <c r="U608" s="1"/>
      <c r="V608" s="2"/>
      <c r="W608" s="2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2.75" customHeight="1" x14ac:dyDescent="0.2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3"/>
      <c r="T609" s="4"/>
      <c r="U609" s="1"/>
      <c r="V609" s="2"/>
      <c r="W609" s="2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2.75" customHeight="1" x14ac:dyDescent="0.2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3"/>
      <c r="T610" s="4"/>
      <c r="U610" s="1"/>
      <c r="V610" s="2"/>
      <c r="W610" s="2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2.75" customHeight="1" x14ac:dyDescent="0.2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3"/>
      <c r="T611" s="4"/>
      <c r="U611" s="1"/>
      <c r="V611" s="2"/>
      <c r="W611" s="2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2.75" customHeight="1" x14ac:dyDescent="0.2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3"/>
      <c r="T612" s="4"/>
      <c r="U612" s="1"/>
      <c r="V612" s="2"/>
      <c r="W612" s="2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2.75" customHeight="1" x14ac:dyDescent="0.2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3"/>
      <c r="T613" s="4"/>
      <c r="U613" s="1"/>
      <c r="V613" s="2"/>
      <c r="W613" s="2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2.75" customHeight="1" x14ac:dyDescent="0.2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3"/>
      <c r="T614" s="4"/>
      <c r="U614" s="1"/>
      <c r="V614" s="2"/>
      <c r="W614" s="2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2.75" customHeight="1" x14ac:dyDescent="0.2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3"/>
      <c r="T615" s="4"/>
      <c r="U615" s="1"/>
      <c r="V615" s="2"/>
      <c r="W615" s="2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2.75" customHeight="1" x14ac:dyDescent="0.2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3"/>
      <c r="T616" s="4"/>
      <c r="U616" s="1"/>
      <c r="V616" s="2"/>
      <c r="W616" s="2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2.75" customHeight="1" x14ac:dyDescent="0.2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3"/>
      <c r="T617" s="4"/>
      <c r="U617" s="1"/>
      <c r="V617" s="2"/>
      <c r="W617" s="2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2.75" customHeight="1" x14ac:dyDescent="0.2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3"/>
      <c r="T618" s="4"/>
      <c r="U618" s="1"/>
      <c r="V618" s="2"/>
      <c r="W618" s="2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2.75" customHeight="1" x14ac:dyDescent="0.2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3"/>
      <c r="T619" s="4"/>
      <c r="U619" s="1"/>
      <c r="V619" s="2"/>
      <c r="W619" s="2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2.75" customHeight="1" x14ac:dyDescent="0.2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3"/>
      <c r="T620" s="4"/>
      <c r="U620" s="1"/>
      <c r="V620" s="2"/>
      <c r="W620" s="2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2.75" customHeight="1" x14ac:dyDescent="0.2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3"/>
      <c r="T621" s="4"/>
      <c r="U621" s="1"/>
      <c r="V621" s="2"/>
      <c r="W621" s="2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2.75" customHeight="1" x14ac:dyDescent="0.2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3"/>
      <c r="T622" s="4"/>
      <c r="U622" s="1"/>
      <c r="V622" s="2"/>
      <c r="W622" s="2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2.75" customHeight="1" x14ac:dyDescent="0.2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3"/>
      <c r="T623" s="4"/>
      <c r="U623" s="1"/>
      <c r="V623" s="2"/>
      <c r="W623" s="2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2.75" customHeight="1" x14ac:dyDescent="0.2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3"/>
      <c r="T624" s="4"/>
      <c r="U624" s="1"/>
      <c r="V624" s="2"/>
      <c r="W624" s="2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2.75" customHeight="1" x14ac:dyDescent="0.2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3"/>
      <c r="T625" s="4"/>
      <c r="U625" s="1"/>
      <c r="V625" s="2"/>
      <c r="W625" s="2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2.75" customHeight="1" x14ac:dyDescent="0.2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3"/>
      <c r="T626" s="4"/>
      <c r="U626" s="1"/>
      <c r="V626" s="2"/>
      <c r="W626" s="2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2.75" customHeight="1" x14ac:dyDescent="0.2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3"/>
      <c r="T627" s="4"/>
      <c r="U627" s="1"/>
      <c r="V627" s="2"/>
      <c r="W627" s="2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2.75" customHeight="1" x14ac:dyDescent="0.2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3"/>
      <c r="T628" s="4"/>
      <c r="U628" s="1"/>
      <c r="V628" s="2"/>
      <c r="W628" s="2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2.75" customHeight="1" x14ac:dyDescent="0.2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3"/>
      <c r="T629" s="4"/>
      <c r="U629" s="1"/>
      <c r="V629" s="2"/>
      <c r="W629" s="2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2.75" customHeight="1" x14ac:dyDescent="0.2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3"/>
      <c r="T630" s="4"/>
      <c r="U630" s="1"/>
      <c r="V630" s="2"/>
      <c r="W630" s="2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2.75" customHeight="1" x14ac:dyDescent="0.2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3"/>
      <c r="T631" s="4"/>
      <c r="U631" s="1"/>
      <c r="V631" s="2"/>
      <c r="W631" s="2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2.75" customHeight="1" x14ac:dyDescent="0.2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3"/>
      <c r="T632" s="4"/>
      <c r="U632" s="1"/>
      <c r="V632" s="2"/>
      <c r="W632" s="2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2.75" customHeight="1" x14ac:dyDescent="0.2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3"/>
      <c r="T633" s="4"/>
      <c r="U633" s="1"/>
      <c r="V633" s="2"/>
      <c r="W633" s="2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2.75" customHeight="1" x14ac:dyDescent="0.2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3"/>
      <c r="T634" s="4"/>
      <c r="U634" s="1"/>
      <c r="V634" s="2"/>
      <c r="W634" s="2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2.75" customHeight="1" x14ac:dyDescent="0.2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3"/>
      <c r="T635" s="4"/>
      <c r="U635" s="1"/>
      <c r="V635" s="2"/>
      <c r="W635" s="2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2.75" customHeight="1" x14ac:dyDescent="0.2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3"/>
      <c r="T636" s="4"/>
      <c r="U636" s="1"/>
      <c r="V636" s="2"/>
      <c r="W636" s="2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2.75" customHeight="1" x14ac:dyDescent="0.2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3"/>
      <c r="T637" s="4"/>
      <c r="U637" s="1"/>
      <c r="V637" s="2"/>
      <c r="W637" s="2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2.75" customHeight="1" x14ac:dyDescent="0.2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3"/>
      <c r="T638" s="4"/>
      <c r="U638" s="1"/>
      <c r="V638" s="2"/>
      <c r="W638" s="2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2.75" customHeight="1" x14ac:dyDescent="0.2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3"/>
      <c r="T639" s="4"/>
      <c r="U639" s="1"/>
      <c r="V639" s="2"/>
      <c r="W639" s="2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2.75" customHeight="1" x14ac:dyDescent="0.2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3"/>
      <c r="T640" s="4"/>
      <c r="U640" s="1"/>
      <c r="V640" s="2"/>
      <c r="W640" s="2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2.75" customHeight="1" x14ac:dyDescent="0.2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3"/>
      <c r="T641" s="4"/>
      <c r="U641" s="1"/>
      <c r="V641" s="2"/>
      <c r="W641" s="2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2.75" customHeight="1" x14ac:dyDescent="0.2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3"/>
      <c r="T642" s="4"/>
      <c r="U642" s="1"/>
      <c r="V642" s="2"/>
      <c r="W642" s="2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2.75" customHeight="1" x14ac:dyDescent="0.2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3"/>
      <c r="T643" s="4"/>
      <c r="U643" s="1"/>
      <c r="V643" s="2"/>
      <c r="W643" s="2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2.75" customHeight="1" x14ac:dyDescent="0.2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3"/>
      <c r="T644" s="4"/>
      <c r="U644" s="1"/>
      <c r="V644" s="2"/>
      <c r="W644" s="2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2.75" customHeight="1" x14ac:dyDescent="0.2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3"/>
      <c r="T645" s="4"/>
      <c r="U645" s="1"/>
      <c r="V645" s="2"/>
      <c r="W645" s="2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2.75" customHeight="1" x14ac:dyDescent="0.2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3"/>
      <c r="T646" s="4"/>
      <c r="U646" s="1"/>
      <c r="V646" s="2"/>
      <c r="W646" s="2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2.75" customHeight="1" x14ac:dyDescent="0.2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3"/>
      <c r="T647" s="4"/>
      <c r="U647" s="1"/>
      <c r="V647" s="2"/>
      <c r="W647" s="2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2.75" customHeight="1" x14ac:dyDescent="0.2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3"/>
      <c r="T648" s="4"/>
      <c r="U648" s="1"/>
      <c r="V648" s="2"/>
      <c r="W648" s="2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2.75" customHeight="1" x14ac:dyDescent="0.2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3"/>
      <c r="T649" s="4"/>
      <c r="U649" s="1"/>
      <c r="V649" s="2"/>
      <c r="W649" s="2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2.75" customHeight="1" x14ac:dyDescent="0.2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3"/>
      <c r="T650" s="4"/>
      <c r="U650" s="1"/>
      <c r="V650" s="2"/>
      <c r="W650" s="2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2.75" customHeight="1" x14ac:dyDescent="0.2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3"/>
      <c r="T651" s="4"/>
      <c r="U651" s="1"/>
      <c r="V651" s="2"/>
      <c r="W651" s="2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2.75" customHeight="1" x14ac:dyDescent="0.2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3"/>
      <c r="T652" s="4"/>
      <c r="U652" s="1"/>
      <c r="V652" s="2"/>
      <c r="W652" s="2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2.75" customHeight="1" x14ac:dyDescent="0.2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3"/>
      <c r="T653" s="4"/>
      <c r="U653" s="1"/>
      <c r="V653" s="2"/>
      <c r="W653" s="2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2.75" customHeight="1" x14ac:dyDescent="0.2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3"/>
      <c r="T654" s="4"/>
      <c r="U654" s="1"/>
      <c r="V654" s="2"/>
      <c r="W654" s="2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2.75" customHeight="1" x14ac:dyDescent="0.2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3"/>
      <c r="T655" s="4"/>
      <c r="U655" s="1"/>
      <c r="V655" s="2"/>
      <c r="W655" s="2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2.75" customHeight="1" x14ac:dyDescent="0.2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3"/>
      <c r="T656" s="4"/>
      <c r="U656" s="1"/>
      <c r="V656" s="2"/>
      <c r="W656" s="2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</sheetData>
  <mergeCells count="11">
    <mergeCell ref="A344:A391"/>
    <mergeCell ref="A392:A439"/>
    <mergeCell ref="A440:A487"/>
    <mergeCell ref="A488:A535"/>
    <mergeCell ref="A56:A103"/>
    <mergeCell ref="A104:A151"/>
    <mergeCell ref="A152:A199"/>
    <mergeCell ref="A200:A247"/>
    <mergeCell ref="A248:A295"/>
    <mergeCell ref="A296:A343"/>
    <mergeCell ref="A8:A55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4489-0AD9-476B-8C75-0012DCFACF1C}">
  <dimension ref="A1:S13"/>
  <sheetViews>
    <sheetView workbookViewId="0">
      <selection activeCell="X17" sqref="X17"/>
    </sheetView>
  </sheetViews>
  <sheetFormatPr defaultRowHeight="14.25" x14ac:dyDescent="0.2"/>
  <sheetData>
    <row r="1" spans="1:19" ht="45" x14ac:dyDescent="0.2">
      <c r="A1" s="35" t="s">
        <v>557</v>
      </c>
      <c r="B1" s="35" t="s">
        <v>558</v>
      </c>
      <c r="C1" s="35" t="s">
        <v>559</v>
      </c>
      <c r="D1" s="35" t="s">
        <v>560</v>
      </c>
      <c r="E1" s="35" t="s">
        <v>561</v>
      </c>
      <c r="F1" s="35" t="s">
        <v>562</v>
      </c>
      <c r="G1" s="35" t="s">
        <v>563</v>
      </c>
      <c r="H1" s="35" t="s">
        <v>564</v>
      </c>
      <c r="I1" s="35" t="s">
        <v>565</v>
      </c>
      <c r="J1" s="35" t="s">
        <v>566</v>
      </c>
      <c r="K1" s="35" t="s">
        <v>567</v>
      </c>
      <c r="L1" s="35" t="s">
        <v>568</v>
      </c>
      <c r="M1" s="35" t="s">
        <v>569</v>
      </c>
      <c r="N1" s="35" t="s">
        <v>570</v>
      </c>
      <c r="O1" s="35" t="s">
        <v>571</v>
      </c>
      <c r="P1" s="35" t="s">
        <v>572</v>
      </c>
      <c r="Q1" s="35" t="s">
        <v>573</v>
      </c>
      <c r="R1" s="35" t="s">
        <v>574</v>
      </c>
      <c r="S1" s="35" t="s">
        <v>575</v>
      </c>
    </row>
    <row r="2" spans="1:19" ht="15" x14ac:dyDescent="0.2">
      <c r="A2" s="33">
        <v>1</v>
      </c>
      <c r="B2" s="34">
        <v>-103.18</v>
      </c>
      <c r="C2" s="34">
        <v>100.75</v>
      </c>
      <c r="D2" s="34">
        <v>-1.51</v>
      </c>
      <c r="E2" s="34">
        <v>-51.87</v>
      </c>
      <c r="F2" s="34">
        <v>60.56</v>
      </c>
      <c r="G2" s="34">
        <v>1.46</v>
      </c>
      <c r="H2" s="34">
        <v>0.2014</v>
      </c>
      <c r="I2" s="34">
        <v>-86.51</v>
      </c>
      <c r="J2" s="34">
        <v>88.27</v>
      </c>
      <c r="K2" s="34">
        <v>0.02</v>
      </c>
      <c r="L2" s="34">
        <v>-49.02</v>
      </c>
      <c r="M2" s="34">
        <v>41.74</v>
      </c>
      <c r="N2" s="34">
        <v>-1.98</v>
      </c>
      <c r="O2" s="34">
        <v>0.20250000000000001</v>
      </c>
      <c r="P2" s="34">
        <v>0.51800000000000002</v>
      </c>
      <c r="Q2" s="34">
        <v>2.3490000000000002</v>
      </c>
      <c r="R2" s="34">
        <v>1.4339999999999999</v>
      </c>
      <c r="S2" s="34">
        <v>1.831</v>
      </c>
    </row>
    <row r="3" spans="1:19" ht="15" x14ac:dyDescent="0.2">
      <c r="A3" s="33">
        <v>2</v>
      </c>
      <c r="B3" s="34">
        <v>-95</v>
      </c>
      <c r="C3" s="34">
        <v>106.67</v>
      </c>
      <c r="D3" s="34">
        <v>2.82</v>
      </c>
      <c r="E3" s="34">
        <v>-52.8</v>
      </c>
      <c r="F3" s="34">
        <v>59.08</v>
      </c>
      <c r="G3" s="34">
        <v>1.85</v>
      </c>
      <c r="H3" s="34">
        <v>0.19570000000000001</v>
      </c>
      <c r="I3" s="34">
        <v>-91.41</v>
      </c>
      <c r="J3" s="34">
        <v>100.4</v>
      </c>
      <c r="K3" s="34">
        <v>2.4900000000000002</v>
      </c>
      <c r="L3" s="34">
        <v>-57.14</v>
      </c>
      <c r="M3" s="34">
        <v>51.32</v>
      </c>
      <c r="N3" s="34">
        <v>-1.61</v>
      </c>
      <c r="O3" s="34">
        <v>0.20380000000000001</v>
      </c>
      <c r="P3" s="34">
        <v>0.501</v>
      </c>
      <c r="Q3" s="34">
        <v>2.8149999999999999</v>
      </c>
      <c r="R3" s="34">
        <v>1.6579999999999999</v>
      </c>
      <c r="S3" s="34">
        <v>2.3140000000000001</v>
      </c>
    </row>
    <row r="4" spans="1:19" ht="15" x14ac:dyDescent="0.2">
      <c r="A4" s="33">
        <v>3</v>
      </c>
      <c r="B4" s="34">
        <v>-287.24</v>
      </c>
      <c r="C4" s="34">
        <v>227.64</v>
      </c>
      <c r="D4" s="34">
        <v>-14.81</v>
      </c>
      <c r="E4" s="34">
        <v>-118.07</v>
      </c>
      <c r="F4" s="34">
        <v>124.4</v>
      </c>
      <c r="G4" s="34">
        <v>1.63</v>
      </c>
      <c r="H4" s="34">
        <v>0.1983</v>
      </c>
      <c r="I4" s="34">
        <v>-224.64</v>
      </c>
      <c r="J4" s="34">
        <v>254.69</v>
      </c>
      <c r="K4" s="34">
        <v>7.81</v>
      </c>
      <c r="L4" s="34">
        <v>-115.5</v>
      </c>
      <c r="M4" s="34">
        <v>118.81</v>
      </c>
      <c r="N4" s="34">
        <v>0.31</v>
      </c>
      <c r="O4" s="34">
        <v>0.19980000000000001</v>
      </c>
      <c r="P4" s="34">
        <v>0.47599999999999998</v>
      </c>
      <c r="Q4" s="34">
        <v>2.9609999999999999</v>
      </c>
      <c r="R4" s="34">
        <v>1.718</v>
      </c>
      <c r="S4" s="34">
        <v>2.4849999999999999</v>
      </c>
    </row>
    <row r="5" spans="1:19" ht="15" x14ac:dyDescent="0.2">
      <c r="A5" s="33">
        <v>4</v>
      </c>
      <c r="B5" s="34">
        <v>-281.93</v>
      </c>
      <c r="C5" s="34">
        <v>276.64999999999998</v>
      </c>
      <c r="D5" s="34">
        <v>-2.6</v>
      </c>
      <c r="E5" s="34">
        <v>-131.05000000000001</v>
      </c>
      <c r="F5" s="34">
        <v>122.69</v>
      </c>
      <c r="G5" s="34">
        <v>-2.71</v>
      </c>
      <c r="H5" s="34">
        <v>0.2145</v>
      </c>
      <c r="I5" s="34">
        <v>-225.12</v>
      </c>
      <c r="J5" s="34">
        <v>266.64</v>
      </c>
      <c r="K5" s="34">
        <v>17.25</v>
      </c>
      <c r="L5" s="34">
        <v>-126.35</v>
      </c>
      <c r="M5" s="34">
        <v>106.14</v>
      </c>
      <c r="N5" s="34">
        <v>-5.8</v>
      </c>
      <c r="O5" s="34">
        <v>0.2147</v>
      </c>
      <c r="P5" s="34">
        <v>1.4039999999999999</v>
      </c>
      <c r="Q5" s="34">
        <v>3.6819999999999999</v>
      </c>
      <c r="R5" s="34">
        <v>2.5430000000000001</v>
      </c>
      <c r="S5" s="34">
        <v>2.278</v>
      </c>
    </row>
    <row r="6" spans="1:19" ht="15" x14ac:dyDescent="0.2">
      <c r="A6" s="33">
        <v>5</v>
      </c>
      <c r="B6" s="34">
        <v>-331.6</v>
      </c>
      <c r="C6" s="34">
        <v>347.7</v>
      </c>
      <c r="D6" s="34">
        <v>-1.56</v>
      </c>
      <c r="E6" s="34">
        <v>-175.98</v>
      </c>
      <c r="F6" s="34">
        <v>165.08</v>
      </c>
      <c r="G6" s="34">
        <v>-1.95</v>
      </c>
      <c r="H6" s="34">
        <v>0.22140000000000001</v>
      </c>
      <c r="I6" s="34">
        <v>-266.87</v>
      </c>
      <c r="J6" s="34">
        <v>382.42</v>
      </c>
      <c r="K6" s="34">
        <v>32.53</v>
      </c>
      <c r="L6" s="34">
        <v>-140.59</v>
      </c>
      <c r="M6" s="34">
        <v>139.97999999999999</v>
      </c>
      <c r="N6" s="34">
        <v>-0.13</v>
      </c>
      <c r="O6" s="34">
        <v>0.22009999999999999</v>
      </c>
      <c r="P6" s="34">
        <v>1.095</v>
      </c>
      <c r="Q6" s="34">
        <v>3.867</v>
      </c>
      <c r="R6" s="34">
        <v>2.4809999999999999</v>
      </c>
      <c r="S6" s="34">
        <v>2.7719999999999998</v>
      </c>
    </row>
    <row r="7" spans="1:19" ht="15" x14ac:dyDescent="0.2">
      <c r="A7" s="33">
        <v>6</v>
      </c>
      <c r="B7" s="34">
        <v>-154.13999999999999</v>
      </c>
      <c r="C7" s="34">
        <v>148.88999999999999</v>
      </c>
      <c r="D7" s="34">
        <v>-3.62</v>
      </c>
      <c r="E7" s="34">
        <v>-72.37</v>
      </c>
      <c r="F7" s="34">
        <v>75.91</v>
      </c>
      <c r="G7" s="34">
        <v>0.19</v>
      </c>
      <c r="H7" s="34">
        <v>0.22320000000000001</v>
      </c>
      <c r="I7" s="34">
        <v>-127.2</v>
      </c>
      <c r="J7" s="34">
        <v>144.19999999999999</v>
      </c>
      <c r="K7" s="34">
        <v>5.0999999999999996</v>
      </c>
      <c r="L7" s="34">
        <v>-85.71</v>
      </c>
      <c r="M7" s="34">
        <v>80.010000000000005</v>
      </c>
      <c r="N7" s="34">
        <v>-0.68</v>
      </c>
      <c r="O7" s="34">
        <v>0.2248</v>
      </c>
      <c r="P7" s="34">
        <v>0.59099999999999997</v>
      </c>
      <c r="Q7" s="34">
        <v>2.4460000000000002</v>
      </c>
      <c r="R7" s="34">
        <v>1.5189999999999999</v>
      </c>
      <c r="S7" s="34">
        <v>1.855</v>
      </c>
    </row>
    <row r="8" spans="1:19" ht="15" x14ac:dyDescent="0.2">
      <c r="A8" s="33">
        <v>7</v>
      </c>
      <c r="B8" s="34">
        <v>-161.65</v>
      </c>
      <c r="C8" s="34">
        <v>142.37</v>
      </c>
      <c r="D8" s="34">
        <v>-5.01</v>
      </c>
      <c r="E8" s="34">
        <v>-52.15</v>
      </c>
      <c r="F8" s="34">
        <v>59.76</v>
      </c>
      <c r="G8" s="34">
        <v>1.34</v>
      </c>
      <c r="H8" s="34">
        <v>0.22270000000000001</v>
      </c>
      <c r="I8" s="34">
        <v>-149.11000000000001</v>
      </c>
      <c r="J8" s="34">
        <v>157.44999999999999</v>
      </c>
      <c r="K8" s="34">
        <v>2.48</v>
      </c>
      <c r="L8" s="34">
        <v>-58.55</v>
      </c>
      <c r="M8" s="34">
        <v>56.73</v>
      </c>
      <c r="N8" s="34">
        <v>0.52</v>
      </c>
      <c r="O8" s="34">
        <v>0.22239999999999999</v>
      </c>
      <c r="P8" s="34">
        <v>0.49299999999999999</v>
      </c>
      <c r="Q8" s="34">
        <v>1.8420000000000001</v>
      </c>
      <c r="R8" s="34">
        <v>1.1679999999999999</v>
      </c>
      <c r="S8" s="34">
        <v>1.349</v>
      </c>
    </row>
    <row r="9" spans="1:19" ht="15" x14ac:dyDescent="0.2">
      <c r="A9" s="33">
        <v>8</v>
      </c>
      <c r="B9" s="34">
        <v>-294.58</v>
      </c>
      <c r="C9" s="34">
        <v>325.79000000000002</v>
      </c>
      <c r="D9" s="34">
        <v>-6.68</v>
      </c>
      <c r="E9" s="34">
        <v>-145.27000000000001</v>
      </c>
      <c r="F9" s="34">
        <v>142.18</v>
      </c>
      <c r="G9" s="34">
        <v>-2.3199999999999998</v>
      </c>
      <c r="H9" s="34">
        <v>0.2051</v>
      </c>
      <c r="I9" s="34">
        <v>-285.05</v>
      </c>
      <c r="J9" s="34">
        <v>373.33</v>
      </c>
      <c r="K9" s="34">
        <v>25.43</v>
      </c>
      <c r="L9" s="34">
        <v>-191.91</v>
      </c>
      <c r="M9" s="34">
        <v>174.4</v>
      </c>
      <c r="N9" s="34">
        <v>-5.13</v>
      </c>
      <c r="O9" s="34">
        <v>0.20130000000000001</v>
      </c>
      <c r="P9" s="34">
        <v>0.94399999999999995</v>
      </c>
      <c r="Q9" s="34">
        <v>3.3490000000000002</v>
      </c>
      <c r="R9" s="34">
        <v>2.1469999999999998</v>
      </c>
      <c r="S9" s="34">
        <v>2.4049999999999998</v>
      </c>
    </row>
    <row r="10" spans="1:19" ht="15" x14ac:dyDescent="0.2">
      <c r="A10" s="33">
        <v>9</v>
      </c>
      <c r="B10" s="34">
        <v>-244.42</v>
      </c>
      <c r="C10" s="34">
        <v>247.72</v>
      </c>
      <c r="D10" s="34">
        <v>-1.51</v>
      </c>
      <c r="E10" s="34">
        <v>-134.02000000000001</v>
      </c>
      <c r="F10" s="34">
        <v>141.11000000000001</v>
      </c>
      <c r="G10" s="34">
        <v>4.49</v>
      </c>
      <c r="H10" s="34">
        <v>0.2049</v>
      </c>
      <c r="I10" s="34">
        <v>-331.83</v>
      </c>
      <c r="J10" s="34">
        <v>358</v>
      </c>
      <c r="K10" s="34">
        <v>7.35</v>
      </c>
      <c r="L10" s="34">
        <v>-181.77</v>
      </c>
      <c r="M10" s="34">
        <v>173.55</v>
      </c>
      <c r="N10" s="34">
        <v>-0.95</v>
      </c>
      <c r="O10" s="34">
        <v>0.20230000000000001</v>
      </c>
      <c r="P10" s="34">
        <v>1.5629999999999999</v>
      </c>
      <c r="Q10" s="34">
        <v>3.0510000000000002</v>
      </c>
      <c r="R10" s="34">
        <v>2.3069999999999999</v>
      </c>
      <c r="S10" s="34">
        <v>1.488</v>
      </c>
    </row>
    <row r="11" spans="1:19" ht="15" x14ac:dyDescent="0.2">
      <c r="A11" s="33">
        <v>10</v>
      </c>
      <c r="B11" s="34">
        <v>-274.64999999999998</v>
      </c>
      <c r="C11" s="34">
        <v>288.5</v>
      </c>
      <c r="D11" s="34">
        <v>-2.87</v>
      </c>
      <c r="E11" s="34">
        <v>-147.96</v>
      </c>
      <c r="F11" s="34">
        <v>131.35</v>
      </c>
      <c r="G11" s="34">
        <v>-5.72</v>
      </c>
      <c r="H11" s="34">
        <v>0.20669999999999999</v>
      </c>
      <c r="I11" s="34">
        <v>-311.67</v>
      </c>
      <c r="J11" s="34">
        <v>324.58</v>
      </c>
      <c r="K11" s="34">
        <v>3.1</v>
      </c>
      <c r="L11" s="34">
        <v>-178.46</v>
      </c>
      <c r="M11" s="34">
        <v>177.14</v>
      </c>
      <c r="N11" s="34">
        <v>-3.92</v>
      </c>
      <c r="O11" s="34">
        <v>0.1961</v>
      </c>
      <c r="P11" s="34">
        <v>1.5229999999999999</v>
      </c>
      <c r="Q11" s="34">
        <v>3.7160000000000002</v>
      </c>
      <c r="R11" s="34">
        <v>2.62</v>
      </c>
      <c r="S11" s="34">
        <v>2.1930000000000001</v>
      </c>
    </row>
    <row r="12" spans="1:19" ht="15" x14ac:dyDescent="0.2">
      <c r="A12" s="33">
        <v>11</v>
      </c>
      <c r="B12" s="34">
        <v>-253.99</v>
      </c>
      <c r="C12" s="34">
        <v>263.69</v>
      </c>
      <c r="D12" s="34">
        <v>4.01</v>
      </c>
      <c r="E12" s="34">
        <v>-140.21</v>
      </c>
      <c r="F12" s="34">
        <v>125.44</v>
      </c>
      <c r="G12" s="34">
        <v>-1.89</v>
      </c>
      <c r="H12" s="34">
        <v>0.21110000000000001</v>
      </c>
      <c r="I12" s="34">
        <v>-258.17</v>
      </c>
      <c r="J12" s="34">
        <v>296.49</v>
      </c>
      <c r="K12" s="34">
        <v>12.52</v>
      </c>
      <c r="L12" s="34">
        <v>-146.68</v>
      </c>
      <c r="M12" s="34">
        <v>145.32</v>
      </c>
      <c r="N12" s="34">
        <v>-0.24</v>
      </c>
      <c r="O12" s="34">
        <v>0.20330000000000001</v>
      </c>
      <c r="P12" s="34">
        <v>1.355</v>
      </c>
      <c r="Q12" s="34">
        <v>3.0129999999999999</v>
      </c>
      <c r="R12" s="34">
        <v>2.1840000000000002</v>
      </c>
      <c r="S12" s="34">
        <v>1.6579999999999999</v>
      </c>
    </row>
    <row r="13" spans="1:19" ht="15" x14ac:dyDescent="0.2">
      <c r="A13" s="33" t="s">
        <v>576</v>
      </c>
      <c r="B13" s="33">
        <v>-225.67</v>
      </c>
      <c r="C13" s="33">
        <v>225.12</v>
      </c>
      <c r="D13" s="33">
        <v>-3.03</v>
      </c>
      <c r="E13" s="33">
        <v>-111.07</v>
      </c>
      <c r="F13" s="33">
        <v>109.78</v>
      </c>
      <c r="G13" s="33">
        <v>-0.33</v>
      </c>
      <c r="H13" s="33">
        <v>0.20949999999999999</v>
      </c>
      <c r="I13" s="33">
        <v>-214.33</v>
      </c>
      <c r="J13" s="33">
        <v>249.68</v>
      </c>
      <c r="K13" s="33">
        <v>10.55</v>
      </c>
      <c r="L13" s="33">
        <v>-121.06</v>
      </c>
      <c r="M13" s="33">
        <v>115.01</v>
      </c>
      <c r="N13" s="33">
        <v>-1.78</v>
      </c>
      <c r="O13" s="33">
        <v>0.20830000000000001</v>
      </c>
      <c r="P13" s="33">
        <v>0.95099999999999996</v>
      </c>
      <c r="Q13" s="33">
        <v>3.008</v>
      </c>
      <c r="R13" s="33">
        <v>1.98</v>
      </c>
      <c r="S13" s="33">
        <v>2.0569999999999999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 min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Azhan Fikri Ramli</dc:creator>
  <cp:lastModifiedBy>Azhan Fikri Ramli</cp:lastModifiedBy>
  <dcterms:created xsi:type="dcterms:W3CDTF">2026-08-30T14:11:22Z</dcterms:created>
  <dcterms:modified xsi:type="dcterms:W3CDTF">2026-08-30T14:22:40Z</dcterms:modified>
</cp:coreProperties>
</file>